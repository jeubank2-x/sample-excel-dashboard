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7.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jbank\Downloads\"/>
    </mc:Choice>
  </mc:AlternateContent>
  <xr:revisionPtr revIDLastSave="0" documentId="13_ncr:1_{C1FCB8BF-D9BE-4A07-80A6-BC4A0E86AD70}" xr6:coauthVersionLast="47" xr6:coauthVersionMax="47" xr10:uidLastSave="{00000000-0000-0000-0000-000000000000}"/>
  <bookViews>
    <workbookView xWindow="-120" yWindow="-120" windowWidth="29040" windowHeight="15720" xr2:uid="{3F22BB17-28B2-4C26-86E0-33743162EB75}"/>
  </bookViews>
  <sheets>
    <sheet name="Dashboard" sheetId="13" r:id="rId1"/>
    <sheet name="1" sheetId="15" r:id="rId2"/>
    <sheet name="2" sheetId="12" r:id="rId3"/>
    <sheet name="3" sheetId="19" r:id="rId4"/>
    <sheet name="4" sheetId="20" r:id="rId5"/>
    <sheet name="5" sheetId="21" r:id="rId6"/>
    <sheet name="12-19 - 12-31" sheetId="9" r:id="rId7"/>
  </sheets>
  <definedNames>
    <definedName name="ExternalData_7" localSheetId="6" hidden="1">'12-19 - 12-31'!$A$1:$E$123</definedName>
    <definedName name="_xlnm.Print_Area" localSheetId="0">Dashboard!$A$1:$AD$45</definedName>
    <definedName name="Slicer_Department">#N/A</definedName>
    <definedName name="Slicer_Payer">#N/A</definedName>
  </definedNames>
  <calcPr calcId="191029"/>
  <pivotCaches>
    <pivotCache cacheId="6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9" l="1"/>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113" i="9"/>
  <c r="B114" i="9"/>
  <c r="B115" i="9"/>
  <c r="B116" i="9"/>
  <c r="B117" i="9"/>
  <c r="B118" i="9"/>
  <c r="B119" i="9"/>
  <c r="B120" i="9"/>
  <c r="B121" i="9"/>
  <c r="B122" i="9"/>
  <c r="B2"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28EE4FF-34E9-4A6B-ADE6-6A4FF128B1CB}" keepAlive="1" name="Query - 12-19 - 12-31" description="Connection to the '12-19 - 12-31' query in the workbook." type="5" refreshedVersion="8" background="1" saveData="1">
    <dbPr connection="Provider=Microsoft.Mashup.OleDb.1;Data Source=$Workbook$;Location=&quot;12-19 - 12-31&quot;;Extended Properties=&quot;&quot;" command="SELECT * FROM [12-19 - 12-31]"/>
  </connection>
  <connection id="2" xr16:uid="{92C9AFD1-F1A7-4FD1-9AB1-7946C9E7AD9E}" keepAlive="1" name="Query - 12-19-25" description="Connection to the '12-19-25' query in the workbook." type="5" refreshedVersion="0" background="1">
    <dbPr connection="Provider=Microsoft.Mashup.OleDb.1;Data Source=$Workbook$;Location=12-19-25;Extended Properties=&quot;&quot;" command="SELECT * FROM [12-19-25]"/>
  </connection>
  <connection id="3" xr16:uid="{2A88918F-3249-4CE2-B824-5A81605C0C4B}" keepAlive="1" name="Query - 12-22-25" description="Connection to the '12-22-25' query in the workbook." type="5" refreshedVersion="8" background="1" saveData="1">
    <dbPr connection="Provider=Microsoft.Mashup.OleDb.1;Data Source=$Workbook$;Location=12-22-25;Extended Properties=&quot;&quot;" command="SELECT * FROM [12-22-25]"/>
  </connection>
  <connection id="4" xr16:uid="{6C5893E5-8431-45F4-B75E-005BB2883B99}" keepAlive="1" name="Query - 12-23-25" description="Connection to the '12-23-25' query in the workbook." type="5" refreshedVersion="8" background="1" saveData="1">
    <dbPr connection="Provider=Microsoft.Mashup.OleDb.1;Data Source=$Workbook$;Location=12-23-25;Extended Properties=&quot;&quot;" command="SELECT * FROM [12-23-25]"/>
  </connection>
  <connection id="5" xr16:uid="{C3A241AF-A11D-49ED-AFB5-7BE382E53C76}" keepAlive="1" name="Query - 12-24-25" description="Connection to the '12-24-25' query in the workbook." type="5" refreshedVersion="8" background="1" saveData="1">
    <dbPr connection="Provider=Microsoft.Mashup.OleDb.1;Data Source=$Workbook$;Location=12-24-25;Extended Properties=&quot;&quot;" command="SELECT * FROM [12-24-25]"/>
  </connection>
  <connection id="6" xr16:uid="{855786DC-F974-4125-B629-984C0739695A}" keepAlive="1" name="Query - 12-26-25" description="Connection to the '12-26-25' query in the workbook." type="5" refreshedVersion="8" background="1" saveData="1">
    <dbPr connection="Provider=Microsoft.Mashup.OleDb.1;Data Source=$Workbook$;Location=12-26-25;Extended Properties=&quot;&quot;" command="SELECT * FROM [12-26-25]"/>
  </connection>
  <connection id="7" xr16:uid="{A00F0E65-72DC-4B58-822C-0289F73416E5}" keepAlive="1" name="Query - 12-29-25" description="Connection to the '12-29-25' query in the workbook." type="5" refreshedVersion="8" background="1" saveData="1">
    <dbPr connection="Provider=Microsoft.Mashup.OleDb.1;Data Source=$Workbook$;Location=12-29-25;Extended Properties=&quot;&quot;" command="SELECT * FROM [12-29-25]"/>
  </connection>
  <connection id="8" xr16:uid="{75A30B85-2DC8-4251-928A-1578D32FF80D}" keepAlive="1" name="Query - 12-30-25" description="Connection to the '12-30-25' query in the workbook." type="5" refreshedVersion="8" background="1" saveData="1">
    <dbPr connection="Provider=Microsoft.Mashup.OleDb.1;Data Source=$Workbook$;Location=12-30-25;Extended Properties=&quot;&quot;" command="SELECT * FROM [12-30-25]"/>
  </connection>
</connections>
</file>

<file path=xl/sharedStrings.xml><?xml version="1.0" encoding="utf-8"?>
<sst xmlns="http://schemas.openxmlformats.org/spreadsheetml/2006/main" count="493" uniqueCount="39">
  <si>
    <t>Remittance Type</t>
  </si>
  <si>
    <t>UNC CRANIOFACIAL CENTE</t>
  </si>
  <si>
    <t>DENTAL FACULTY PRACTIC</t>
  </si>
  <si>
    <t>AETNA SLEEP MED</t>
  </si>
  <si>
    <t>BCBS SLEEP MED</t>
  </si>
  <si>
    <t>UHC SLEEP MED</t>
  </si>
  <si>
    <t>Auto</t>
  </si>
  <si>
    <t xml:space="preserve">Manual </t>
  </si>
  <si>
    <t>Row Labels</t>
  </si>
  <si>
    <t>Grand Total</t>
  </si>
  <si>
    <t>Count of Remittance Type</t>
  </si>
  <si>
    <t>Column Labels</t>
  </si>
  <si>
    <t>UNC ORAL &amp; MAXILL</t>
  </si>
  <si>
    <t>UNC ORAL &amp; MAXILL PATH</t>
  </si>
  <si>
    <t>SOD OS</t>
  </si>
  <si>
    <t xml:space="preserve">AETNA </t>
  </si>
  <si>
    <t xml:space="preserve">CIGNA </t>
  </si>
  <si>
    <t xml:space="preserve">BCBS </t>
  </si>
  <si>
    <t xml:space="preserve">MEDICARE </t>
  </si>
  <si>
    <t xml:space="preserve">UMR </t>
  </si>
  <si>
    <t xml:space="preserve">UHC </t>
  </si>
  <si>
    <t xml:space="preserve">TRILLIUM </t>
  </si>
  <si>
    <t xml:space="preserve">HUMANA </t>
  </si>
  <si>
    <t xml:space="preserve">AARP </t>
  </si>
  <si>
    <t xml:space="preserve">CCH </t>
  </si>
  <si>
    <t>BCBS</t>
  </si>
  <si>
    <t xml:space="preserve">WELLCARE </t>
  </si>
  <si>
    <t xml:space="preserve">GEHA </t>
  </si>
  <si>
    <t xml:space="preserve">HUMANA  </t>
  </si>
  <si>
    <t>Amount</t>
  </si>
  <si>
    <t xml:space="preserve"> Date</t>
  </si>
  <si>
    <t>Department</t>
  </si>
  <si>
    <t>Count of Amount</t>
  </si>
  <si>
    <t>HUMANA</t>
  </si>
  <si>
    <t>Payments Made</t>
  </si>
  <si>
    <t xml:space="preserve"> </t>
  </si>
  <si>
    <t>Payer</t>
  </si>
  <si>
    <t>Sum of Amount</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</si>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</sst>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cellXfs>
  <cellStyles count="1">
    <cellStyle name="Normal" xfId="0" builtinId="0"/>
  </cellStyles>
  <dxfs count="4">
    <dxf>
      <numFmt numFmtId="0" formatCode="General"/>
    </dxf>
    <dxf>
      <numFmt numFmtId="0" formatCode="General"/>
    </dxf>
    <dxf>
      <numFmt numFmtId="0" formatCode="Genera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[EFT Sample Dashboard.xlsx]2!PivotTable4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Auto vs Manual</a:t>
            </a:r>
            <a:r>
              <a:rPr lang="en-US" baseline="0"/>
              <a:t> </a:t>
            </a:r>
            <a:r>
              <a:rPr lang="en-US"/>
              <a:t>EFT Payments Made by Payer Per Department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617492296396961E-2"/>
          <c:y val="0.15518378194357504"/>
          <c:w val="0.73919054096032932"/>
          <c:h val="0.41608839927884866"/>
        </c:manualLayout>
      </c:layout>
      <c:barChart>
        <c:barDir val="col"/>
        <c:grouping val="stacked"/>
        <c:varyColors val="0"/>
        <c:ser>
          <c:idx val="0"/>
          <c:order val="0"/>
          <c:tx>
            <c:strRef>
              <c:f>'2'!$B$3:$B$4</c:f>
              <c:strCache>
                <c:ptCount val="1"/>
                <c:pt idx="0">
                  <c:v>Auto</c:v>
                </c:pt>
              </c:strCache>
            </c:strRef>
          </c:tx>
          <c:spPr>
            <a:solidFill>
              <a:schemeClr val="accent1"/>
            </a:solidFill>
            <a:ln>
              <a:noFill/>
            </a:ln>
            <a:effectLst/>
          </c:spPr>
          <c:invertIfNegative val="0"/>
          <c:cat>
            <c:multiLvlStrRef>
              <c:f>'2'!$A$5:$A$47</c:f>
              <c:multiLvlStrCache>
                <c:ptCount val="36"/>
                <c:lvl>
                  <c:pt idx="0">
                    <c:v>AARP </c:v>
                  </c:pt>
                  <c:pt idx="1">
                    <c:v>AETNA </c:v>
                  </c:pt>
                  <c:pt idx="2">
                    <c:v>AETNA SLEEP MED</c:v>
                  </c:pt>
                  <c:pt idx="3">
                    <c:v>BCBS</c:v>
                  </c:pt>
                  <c:pt idx="4">
                    <c:v>BCBS </c:v>
                  </c:pt>
                  <c:pt idx="5">
                    <c:v>BCBS SLEEP MED</c:v>
                  </c:pt>
                  <c:pt idx="6">
                    <c:v>CCH </c:v>
                  </c:pt>
                  <c:pt idx="7">
                    <c:v>GEHA </c:v>
                  </c:pt>
                  <c:pt idx="8">
                    <c:v>HUMANA</c:v>
                  </c:pt>
                  <c:pt idx="9">
                    <c:v>HUMANA </c:v>
                  </c:pt>
                  <c:pt idx="10">
                    <c:v>HUMANA  </c:v>
                  </c:pt>
                  <c:pt idx="11">
                    <c:v>MEDICARE </c:v>
                  </c:pt>
                  <c:pt idx="12">
                    <c:v>TRILLIUM </c:v>
                  </c:pt>
                  <c:pt idx="13">
                    <c:v>UHC </c:v>
                  </c:pt>
                  <c:pt idx="14">
                    <c:v>UHC SLEEP MED</c:v>
                  </c:pt>
                  <c:pt idx="15">
                    <c:v>WELLCARE </c:v>
                  </c:pt>
                  <c:pt idx="16">
                    <c:v>UHC </c:v>
                  </c:pt>
                  <c:pt idx="17">
                    <c:v>BCBS</c:v>
                  </c:pt>
                  <c:pt idx="18">
                    <c:v>BCBS </c:v>
                  </c:pt>
                  <c:pt idx="19">
                    <c:v>CCH </c:v>
                  </c:pt>
                  <c:pt idx="20">
                    <c:v>UHC </c:v>
                  </c:pt>
                  <c:pt idx="21">
                    <c:v>UMR </c:v>
                  </c:pt>
                  <c:pt idx="22">
                    <c:v>BCBS</c:v>
                  </c:pt>
                  <c:pt idx="23">
                    <c:v>BCBS </c:v>
                  </c:pt>
                  <c:pt idx="24">
                    <c:v>CCH </c:v>
                  </c:pt>
                  <c:pt idx="25">
                    <c:v>MEDICARE </c:v>
                  </c:pt>
                  <c:pt idx="26">
                    <c:v>TRILLIUM </c:v>
                  </c:pt>
                  <c:pt idx="27">
                    <c:v>WELLCARE </c:v>
                  </c:pt>
                  <c:pt idx="28">
                    <c:v>AETNA </c:v>
                  </c:pt>
                  <c:pt idx="29">
                    <c:v>CCH </c:v>
                  </c:pt>
                  <c:pt idx="30">
                    <c:v>CIGNA </c:v>
                  </c:pt>
                  <c:pt idx="31">
                    <c:v>TRILLIUM </c:v>
                  </c:pt>
                  <c:pt idx="32">
                    <c:v>UHC </c:v>
                  </c:pt>
                  <c:pt idx="33">
                    <c:v>UMR </c:v>
                  </c:pt>
                  <c:pt idx="34">
                    <c:v>WELLCARE </c:v>
                  </c:pt>
                  <c:pt idx="35">
                    <c:v>(blank)</c:v>
                  </c:pt>
                </c:lvl>
                <c:lvl>
                  <c:pt idx="0">
                    <c:v>DENTAL FACULTY PRACTIC</c:v>
                  </c:pt>
                  <c:pt idx="16">
                    <c:v>SOD OS</c:v>
                  </c:pt>
                  <c:pt idx="17">
                    <c:v>UNC CRANIOFACIAL CENTE</c:v>
                  </c:pt>
                  <c:pt idx="22">
                    <c:v>UNC ORAL &amp; MAXILL</c:v>
                  </c:pt>
                  <c:pt idx="28">
                    <c:v>UNC ORAL &amp; MAXILL PATH</c:v>
                  </c:pt>
                  <c:pt idx="35">
                    <c:v>(blank)</c:v>
                  </c:pt>
                </c:lvl>
              </c:multiLvlStrCache>
            </c:multiLvlStrRef>
          </c:cat>
          <c:val>
            <c:numRef>
              <c:f>'2'!$B$5:$B$47</c:f>
              <c:numCache>
                <c:formatCode>General</c:formatCode>
                <c:ptCount val="36"/>
                <c:pt idx="0">
                  <c:v>1</c:v>
                </c:pt>
                <c:pt idx="1">
                  <c:v>7</c:v>
                </c:pt>
                <c:pt idx="3">
                  <c:v>3</c:v>
                </c:pt>
                <c:pt idx="4">
                  <c:v>11</c:v>
                </c:pt>
                <c:pt idx="7">
                  <c:v>1</c:v>
                </c:pt>
                <c:pt idx="9">
                  <c:v>7</c:v>
                </c:pt>
                <c:pt idx="11">
                  <c:v>6</c:v>
                </c:pt>
                <c:pt idx="13">
                  <c:v>14</c:v>
                </c:pt>
                <c:pt idx="17">
                  <c:v>3</c:v>
                </c:pt>
                <c:pt idx="18">
                  <c:v>4</c:v>
                </c:pt>
                <c:pt idx="22">
                  <c:v>4</c:v>
                </c:pt>
                <c:pt idx="23">
                  <c:v>8</c:v>
                </c:pt>
                <c:pt idx="25">
                  <c:v>4</c:v>
                </c:pt>
                <c:pt idx="28">
                  <c:v>5</c:v>
                </c:pt>
                <c:pt idx="29">
                  <c:v>2</c:v>
                </c:pt>
                <c:pt idx="30">
                  <c:v>4</c:v>
                </c:pt>
                <c:pt idx="31">
                  <c:v>1</c:v>
                </c:pt>
                <c:pt idx="32">
                  <c:v>7</c:v>
                </c:pt>
                <c:pt idx="33">
                  <c:v>3</c:v>
                </c:pt>
                <c:pt idx="34">
                  <c:v>1</c:v>
                </c:pt>
              </c:numCache>
            </c:numRef>
          </c:val>
          <c:extLst>
            <c:ext xmlns:c16="http://schemas.microsoft.com/office/drawing/2014/chart" uri="{C3380CC4-5D6E-409C-BE32-E72D297353CC}">
              <c16:uniqueId val="{00000000-0021-4BA4-A147-B40472312A7E}"/>
            </c:ext>
          </c:extLst>
        </c:ser>
        <c:ser>
          <c:idx val="1"/>
          <c:order val="1"/>
          <c:tx>
            <c:strRef>
              <c:f>'2'!$C$3:$C$4</c:f>
              <c:strCache>
                <c:ptCount val="1"/>
                <c:pt idx="0">
                  <c:v>Manual </c:v>
                </c:pt>
              </c:strCache>
            </c:strRef>
          </c:tx>
          <c:spPr>
            <a:solidFill>
              <a:schemeClr val="accent3"/>
            </a:solidFill>
            <a:ln>
              <a:noFill/>
            </a:ln>
            <a:effectLst/>
          </c:spPr>
          <c:invertIfNegative val="0"/>
          <c:cat>
            <c:multiLvlStrRef>
              <c:f>'2'!$A$5:$A$47</c:f>
              <c:multiLvlStrCache>
                <c:ptCount val="36"/>
                <c:lvl>
                  <c:pt idx="0">
                    <c:v>AARP </c:v>
                  </c:pt>
                  <c:pt idx="1">
                    <c:v>AETNA </c:v>
                  </c:pt>
                  <c:pt idx="2">
                    <c:v>AETNA SLEEP MED</c:v>
                  </c:pt>
                  <c:pt idx="3">
                    <c:v>BCBS</c:v>
                  </c:pt>
                  <c:pt idx="4">
                    <c:v>BCBS </c:v>
                  </c:pt>
                  <c:pt idx="5">
                    <c:v>BCBS SLEEP MED</c:v>
                  </c:pt>
                  <c:pt idx="6">
                    <c:v>CCH </c:v>
                  </c:pt>
                  <c:pt idx="7">
                    <c:v>GEHA </c:v>
                  </c:pt>
                  <c:pt idx="8">
                    <c:v>HUMANA</c:v>
                  </c:pt>
                  <c:pt idx="9">
                    <c:v>HUMANA </c:v>
                  </c:pt>
                  <c:pt idx="10">
                    <c:v>HUMANA  </c:v>
                  </c:pt>
                  <c:pt idx="11">
                    <c:v>MEDICARE </c:v>
                  </c:pt>
                  <c:pt idx="12">
                    <c:v>TRILLIUM </c:v>
                  </c:pt>
                  <c:pt idx="13">
                    <c:v>UHC </c:v>
                  </c:pt>
                  <c:pt idx="14">
                    <c:v>UHC SLEEP MED</c:v>
                  </c:pt>
                  <c:pt idx="15">
                    <c:v>WELLCARE </c:v>
                  </c:pt>
                  <c:pt idx="16">
                    <c:v>UHC </c:v>
                  </c:pt>
                  <c:pt idx="17">
                    <c:v>BCBS</c:v>
                  </c:pt>
                  <c:pt idx="18">
                    <c:v>BCBS </c:v>
                  </c:pt>
                  <c:pt idx="19">
                    <c:v>CCH </c:v>
                  </c:pt>
                  <c:pt idx="20">
                    <c:v>UHC </c:v>
                  </c:pt>
                  <c:pt idx="21">
                    <c:v>UMR </c:v>
                  </c:pt>
                  <c:pt idx="22">
                    <c:v>BCBS</c:v>
                  </c:pt>
                  <c:pt idx="23">
                    <c:v>BCBS </c:v>
                  </c:pt>
                  <c:pt idx="24">
                    <c:v>CCH </c:v>
                  </c:pt>
                  <c:pt idx="25">
                    <c:v>MEDICARE </c:v>
                  </c:pt>
                  <c:pt idx="26">
                    <c:v>TRILLIUM </c:v>
                  </c:pt>
                  <c:pt idx="27">
                    <c:v>WELLCARE </c:v>
                  </c:pt>
                  <c:pt idx="28">
                    <c:v>AETNA </c:v>
                  </c:pt>
                  <c:pt idx="29">
                    <c:v>CCH </c:v>
                  </c:pt>
                  <c:pt idx="30">
                    <c:v>CIGNA </c:v>
                  </c:pt>
                  <c:pt idx="31">
                    <c:v>TRILLIUM </c:v>
                  </c:pt>
                  <c:pt idx="32">
                    <c:v>UHC </c:v>
                  </c:pt>
                  <c:pt idx="33">
                    <c:v>UMR </c:v>
                  </c:pt>
                  <c:pt idx="34">
                    <c:v>WELLCARE </c:v>
                  </c:pt>
                  <c:pt idx="35">
                    <c:v>(blank)</c:v>
                  </c:pt>
                </c:lvl>
                <c:lvl>
                  <c:pt idx="0">
                    <c:v>DENTAL FACULTY PRACTIC</c:v>
                  </c:pt>
                  <c:pt idx="16">
                    <c:v>SOD OS</c:v>
                  </c:pt>
                  <c:pt idx="17">
                    <c:v>UNC CRANIOFACIAL CENTE</c:v>
                  </c:pt>
                  <c:pt idx="22">
                    <c:v>UNC ORAL &amp; MAXILL</c:v>
                  </c:pt>
                  <c:pt idx="28">
                    <c:v>UNC ORAL &amp; MAXILL PATH</c:v>
                  </c:pt>
                  <c:pt idx="35">
                    <c:v>(blank)</c:v>
                  </c:pt>
                </c:lvl>
              </c:multiLvlStrCache>
            </c:multiLvlStrRef>
          </c:cat>
          <c:val>
            <c:numRef>
              <c:f>'2'!$C$5:$C$47</c:f>
              <c:numCache>
                <c:formatCode>General</c:formatCode>
                <c:ptCount val="36"/>
                <c:pt idx="2">
                  <c:v>2</c:v>
                </c:pt>
                <c:pt idx="5">
                  <c:v>4</c:v>
                </c:pt>
                <c:pt idx="6">
                  <c:v>2</c:v>
                </c:pt>
                <c:pt idx="8">
                  <c:v>1</c:v>
                </c:pt>
                <c:pt idx="10">
                  <c:v>1</c:v>
                </c:pt>
                <c:pt idx="12">
                  <c:v>1</c:v>
                </c:pt>
                <c:pt idx="14">
                  <c:v>1</c:v>
                </c:pt>
                <c:pt idx="15">
                  <c:v>2</c:v>
                </c:pt>
                <c:pt idx="16">
                  <c:v>1</c:v>
                </c:pt>
                <c:pt idx="19">
                  <c:v>1</c:v>
                </c:pt>
                <c:pt idx="20">
                  <c:v>2</c:v>
                </c:pt>
                <c:pt idx="21">
                  <c:v>1</c:v>
                </c:pt>
                <c:pt idx="24">
                  <c:v>3</c:v>
                </c:pt>
                <c:pt idx="26">
                  <c:v>2</c:v>
                </c:pt>
                <c:pt idx="27">
                  <c:v>1</c:v>
                </c:pt>
              </c:numCache>
            </c:numRef>
          </c:val>
          <c:extLst>
            <c:ext xmlns:c16="http://schemas.microsoft.com/office/drawing/2014/chart" uri="{C3380CC4-5D6E-409C-BE32-E72D297353CC}">
              <c16:uniqueId val="{00000001-4530-46B0-A3D4-B3045144EBF6}"/>
            </c:ext>
          </c:extLst>
        </c:ser>
        <c:ser>
          <c:idx val="2"/>
          <c:order val="2"/>
          <c:tx>
            <c:strRef>
              <c:f>'2'!$D$3:$D$4</c:f>
              <c:strCache>
                <c:ptCount val="1"/>
                <c:pt idx="0">
                  <c:v>(blank)</c:v>
                </c:pt>
              </c:strCache>
            </c:strRef>
          </c:tx>
          <c:spPr>
            <a:solidFill>
              <a:schemeClr val="accent5"/>
            </a:solidFill>
            <a:ln>
              <a:noFill/>
            </a:ln>
            <a:effectLst/>
          </c:spPr>
          <c:invertIfNegative val="0"/>
          <c:cat>
            <c:multiLvlStrRef>
              <c:f>'2'!$A$5:$A$47</c:f>
              <c:multiLvlStrCache>
                <c:ptCount val="36"/>
                <c:lvl>
                  <c:pt idx="0">
                    <c:v>AARP </c:v>
                  </c:pt>
                  <c:pt idx="1">
                    <c:v>AETNA </c:v>
                  </c:pt>
                  <c:pt idx="2">
                    <c:v>AETNA SLEEP MED</c:v>
                  </c:pt>
                  <c:pt idx="3">
                    <c:v>BCBS</c:v>
                  </c:pt>
                  <c:pt idx="4">
                    <c:v>BCBS </c:v>
                  </c:pt>
                  <c:pt idx="5">
                    <c:v>BCBS SLEEP MED</c:v>
                  </c:pt>
                  <c:pt idx="6">
                    <c:v>CCH </c:v>
                  </c:pt>
                  <c:pt idx="7">
                    <c:v>GEHA </c:v>
                  </c:pt>
                  <c:pt idx="8">
                    <c:v>HUMANA</c:v>
                  </c:pt>
                  <c:pt idx="9">
                    <c:v>HUMANA </c:v>
                  </c:pt>
                  <c:pt idx="10">
                    <c:v>HUMANA  </c:v>
                  </c:pt>
                  <c:pt idx="11">
                    <c:v>MEDICARE </c:v>
                  </c:pt>
                  <c:pt idx="12">
                    <c:v>TRILLIUM </c:v>
                  </c:pt>
                  <c:pt idx="13">
                    <c:v>UHC </c:v>
                  </c:pt>
                  <c:pt idx="14">
                    <c:v>UHC SLEEP MED</c:v>
                  </c:pt>
                  <c:pt idx="15">
                    <c:v>WELLCARE </c:v>
                  </c:pt>
                  <c:pt idx="16">
                    <c:v>UHC </c:v>
                  </c:pt>
                  <c:pt idx="17">
                    <c:v>BCBS</c:v>
                  </c:pt>
                  <c:pt idx="18">
                    <c:v>BCBS </c:v>
                  </c:pt>
                  <c:pt idx="19">
                    <c:v>CCH </c:v>
                  </c:pt>
                  <c:pt idx="20">
                    <c:v>UHC </c:v>
                  </c:pt>
                  <c:pt idx="21">
                    <c:v>UMR </c:v>
                  </c:pt>
                  <c:pt idx="22">
                    <c:v>BCBS</c:v>
                  </c:pt>
                  <c:pt idx="23">
                    <c:v>BCBS </c:v>
                  </c:pt>
                  <c:pt idx="24">
                    <c:v>CCH </c:v>
                  </c:pt>
                  <c:pt idx="25">
                    <c:v>MEDICARE </c:v>
                  </c:pt>
                  <c:pt idx="26">
                    <c:v>TRILLIUM </c:v>
                  </c:pt>
                  <c:pt idx="27">
                    <c:v>WELLCARE </c:v>
                  </c:pt>
                  <c:pt idx="28">
                    <c:v>AETNA </c:v>
                  </c:pt>
                  <c:pt idx="29">
                    <c:v>CCH </c:v>
                  </c:pt>
                  <c:pt idx="30">
                    <c:v>CIGNA </c:v>
                  </c:pt>
                  <c:pt idx="31">
                    <c:v>TRILLIUM </c:v>
                  </c:pt>
                  <c:pt idx="32">
                    <c:v>UHC </c:v>
                  </c:pt>
                  <c:pt idx="33">
                    <c:v>UMR </c:v>
                  </c:pt>
                  <c:pt idx="34">
                    <c:v>WELLCARE </c:v>
                  </c:pt>
                  <c:pt idx="35">
                    <c:v>(blank)</c:v>
                  </c:pt>
                </c:lvl>
                <c:lvl>
                  <c:pt idx="0">
                    <c:v>DENTAL FACULTY PRACTIC</c:v>
                  </c:pt>
                  <c:pt idx="16">
                    <c:v>SOD OS</c:v>
                  </c:pt>
                  <c:pt idx="17">
                    <c:v>UNC CRANIOFACIAL CENTE</c:v>
                  </c:pt>
                  <c:pt idx="22">
                    <c:v>UNC ORAL &amp; MAXILL</c:v>
                  </c:pt>
                  <c:pt idx="28">
                    <c:v>UNC ORAL &amp; MAXILL PATH</c:v>
                  </c:pt>
                  <c:pt idx="35">
                    <c:v>(blank)</c:v>
                  </c:pt>
                </c:lvl>
              </c:multiLvlStrCache>
            </c:multiLvlStrRef>
          </c:cat>
          <c:val>
            <c:numRef>
              <c:f>'2'!$D$5:$D$47</c:f>
              <c:numCache>
                <c:formatCode>General</c:formatCode>
                <c:ptCount val="36"/>
              </c:numCache>
            </c:numRef>
          </c:val>
          <c:extLst>
            <c:ext xmlns:c16="http://schemas.microsoft.com/office/drawing/2014/chart" uri="{C3380CC4-5D6E-409C-BE32-E72D297353CC}">
              <c16:uniqueId val="{00000000-26F2-433C-8830-CCD9C2F8D1A1}"/>
            </c:ext>
          </c:extLst>
        </c:ser>
        <c:dLbls>
          <c:showLegendKey val="0"/>
          <c:showVal val="0"/>
          <c:showCatName val="0"/>
          <c:showSerName val="0"/>
          <c:showPercent val="0"/>
          <c:showBubbleSize val="0"/>
        </c:dLbls>
        <c:gapWidth val="150"/>
        <c:overlap val="100"/>
        <c:axId val="712666063"/>
        <c:axId val="712666543"/>
      </c:barChart>
      <c:catAx>
        <c:axId val="712666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666543"/>
        <c:crosses val="autoZero"/>
        <c:auto val="1"/>
        <c:lblAlgn val="ctr"/>
        <c:lblOffset val="100"/>
        <c:noMultiLvlLbl val="0"/>
      </c:catAx>
      <c:valAx>
        <c:axId val="712666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666063"/>
        <c:crosses val="autoZero"/>
        <c:crossBetween val="between"/>
      </c:valAx>
      <c:spPr>
        <a:noFill/>
        <a:ln>
          <a:noFill/>
        </a:ln>
        <a:effectLst/>
      </c:spPr>
    </c:plotArea>
    <c:legend>
      <c:legendPos val="r"/>
      <c:layout>
        <c:manualLayout>
          <c:xMode val="edge"/>
          <c:yMode val="edge"/>
          <c:x val="0.87196897521006533"/>
          <c:y val="0.77297093093488822"/>
          <c:w val="5.054903114747393E-2"/>
          <c:h val="0.13975253093363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[EFT Sample Dashboard.xlsx]1!PivotTable6</c:name>
    <c:fmtId val="1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EFT Payments Made</a:t>
            </a:r>
            <a:r>
              <a:rPr lang="en-US" baseline="0"/>
              <a:t> Per Department</a:t>
            </a:r>
            <a:endParaRPr lang="en-US"/>
          </a:p>
        </c:rich>
      </c:tx>
      <c:layout>
        <c:manualLayout>
          <c:xMode val="edge"/>
          <c:yMode val="edge"/>
          <c:x val="0.16447296770995387"/>
          <c:y val="8.9198874237105902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3.8956692913385826E-2"/>
              <c:y val="-0.152019174686497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3.8956692913385826E-2"/>
              <c:y val="-0.152019174686497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3.8956692913385826E-2"/>
              <c:y val="-0.152019174686497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manualLayout>
          <c:layoutTarget val="inner"/>
          <c:xMode val="edge"/>
          <c:yMode val="edge"/>
          <c:x val="0.11668416447944006"/>
          <c:y val="0.24939596092155147"/>
          <c:w val="0.41147353455818025"/>
          <c:h val="0.68578922426363376"/>
        </c:manualLayout>
      </c:layout>
      <c:pieChart>
        <c:varyColors val="1"/>
        <c:ser>
          <c:idx val="0"/>
          <c:order val="0"/>
          <c:tx>
            <c:strRef>
              <c:f>'1'!$B$3</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D85B-432A-B311-C80675B61690}"/>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D85B-432A-B311-C80675B61690}"/>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D85B-432A-B311-C80675B61690}"/>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D85B-432A-B311-C80675B61690}"/>
              </c:ext>
            </c:extLst>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9-D85B-432A-B311-C80675B61690}"/>
              </c:ext>
            </c:extLst>
          </c:dPt>
          <c:dPt>
            <c:idx val="5"/>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Pt>
          <c:dLbls>
            <c:dLbl>
              <c:idx val="1"/>
              <c:layout>
                <c:manualLayout>
                  <c:x val="3.8956692913385826E-2"/>
                  <c:y val="-0.1520191746864975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85B-432A-B311-C80675B6169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'1'!$A$4:$A$10</c:f>
              <c:strCache>
                <c:ptCount val="6"/>
                <c:pt idx="0">
                  <c:v>DENTAL FACULTY PRACTIC</c:v>
                </c:pt>
                <c:pt idx="1">
                  <c:v>SOD OS</c:v>
                </c:pt>
                <c:pt idx="2">
                  <c:v>UNC CRANIOFACIAL CENTE</c:v>
                </c:pt>
                <c:pt idx="3">
                  <c:v>UNC ORAL &amp; MAXILL</c:v>
                </c:pt>
                <c:pt idx="4">
                  <c:v>UNC ORAL &amp; MAXILL PATH</c:v>
                </c:pt>
                <c:pt idx="5">
                  <c:v>(blank)</c:v>
                </c:pt>
              </c:strCache>
            </c:strRef>
          </c:cat>
          <c:val>
            <c:numRef>
              <c:f>'1'!$B$4:$B$10</c:f>
              <c:numCache>
                <c:formatCode>General</c:formatCode>
                <c:ptCount val="6"/>
                <c:pt idx="0">
                  <c:v>64</c:v>
                </c:pt>
                <c:pt idx="1">
                  <c:v>1</c:v>
                </c:pt>
                <c:pt idx="2">
                  <c:v>11</c:v>
                </c:pt>
                <c:pt idx="3">
                  <c:v>22</c:v>
                </c:pt>
                <c:pt idx="4">
                  <c:v>23</c:v>
                </c:pt>
              </c:numCache>
            </c:numRef>
          </c:val>
          <c:extLst>
            <c:ext xmlns:c16="http://schemas.microsoft.com/office/drawing/2014/chart" uri="{C3380CC4-5D6E-409C-BE32-E72D297353CC}">
              <c16:uniqueId val="{0000000A-D85B-432A-B311-C80675B61690}"/>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0058933865979465"/>
          <c:y val="0.38060654182933018"/>
          <c:w val="0.18975061877516744"/>
          <c:h val="0.369393531690891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[EFT Sample Dashboard.xlsx]3!PivotTable9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Number of Payments Made By Insurance Payer</a:t>
            </a:r>
            <a:endParaRPr lang="en-US"/>
          </a:p>
        </c:rich>
      </c:tx>
      <c:layout>
        <c:manualLayout>
          <c:xMode val="edge"/>
          <c:yMode val="edge"/>
          <c:x val="0.19714554358866063"/>
          <c:y val="0.1568627253278980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7642622258424592E-2"/>
          <c:y val="0.2307802830385341"/>
          <c:w val="0.71967920676582098"/>
          <c:h val="0.48655197681567414"/>
        </c:manualLayout>
      </c:layout>
      <c:bar3DChart>
        <c:barDir val="col"/>
        <c:grouping val="stacked"/>
        <c:varyColors val="0"/>
        <c:ser>
          <c:idx val="0"/>
          <c:order val="0"/>
          <c:tx>
            <c:strRef>
              <c:f>'3'!$B$3:$B$4</c:f>
              <c:strCache>
                <c:ptCount val="1"/>
                <c:pt idx="0">
                  <c:v>DENTAL FACULTY PRACTIC</c:v>
                </c:pt>
              </c:strCache>
            </c:strRef>
          </c:tx>
          <c:spPr>
            <a:solidFill>
              <a:schemeClr val="accent1"/>
            </a:solidFill>
            <a:ln>
              <a:noFill/>
            </a:ln>
            <a:effectLst/>
            <a:sp3d/>
          </c:spPr>
          <c:invertIfNegative val="0"/>
          <c:cat>
            <c:strRef>
              <c:f>'3'!$A$5:$A$24</c:f>
              <c:strCache>
                <c:ptCount val="19"/>
                <c:pt idx="0">
                  <c:v>AARP </c:v>
                </c:pt>
                <c:pt idx="1">
                  <c:v>AETNA </c:v>
                </c:pt>
                <c:pt idx="2">
                  <c:v>AETNA SLEEP MED</c:v>
                </c:pt>
                <c:pt idx="3">
                  <c:v>BCBS</c:v>
                </c:pt>
                <c:pt idx="4">
                  <c:v>BCBS </c:v>
                </c:pt>
                <c:pt idx="5">
                  <c:v>BCBS SLEEP MED</c:v>
                </c:pt>
                <c:pt idx="6">
                  <c:v>CCH </c:v>
                </c:pt>
                <c:pt idx="7">
                  <c:v>CIGNA </c:v>
                </c:pt>
                <c:pt idx="8">
                  <c:v>GEHA </c:v>
                </c:pt>
                <c:pt idx="9">
                  <c:v>HUMANA</c:v>
                </c:pt>
                <c:pt idx="10">
                  <c:v>HUMANA </c:v>
                </c:pt>
                <c:pt idx="11">
                  <c:v>HUMANA  </c:v>
                </c:pt>
                <c:pt idx="12">
                  <c:v>MEDICARE </c:v>
                </c:pt>
                <c:pt idx="13">
                  <c:v>TRILLIUM </c:v>
                </c:pt>
                <c:pt idx="14">
                  <c:v>UHC </c:v>
                </c:pt>
                <c:pt idx="15">
                  <c:v>UHC SLEEP MED</c:v>
                </c:pt>
                <c:pt idx="16">
                  <c:v>UMR </c:v>
                </c:pt>
                <c:pt idx="17">
                  <c:v>WELLCARE </c:v>
                </c:pt>
                <c:pt idx="18">
                  <c:v>(blank)</c:v>
                </c:pt>
              </c:strCache>
            </c:strRef>
          </c:cat>
          <c:val>
            <c:numRef>
              <c:f>'3'!$B$5:$B$24</c:f>
              <c:numCache>
                <c:formatCode>General</c:formatCode>
                <c:ptCount val="19"/>
                <c:pt idx="0">
                  <c:v>1</c:v>
                </c:pt>
                <c:pt idx="1">
                  <c:v>7</c:v>
                </c:pt>
                <c:pt idx="2">
                  <c:v>2</c:v>
                </c:pt>
                <c:pt idx="3">
                  <c:v>3</c:v>
                </c:pt>
                <c:pt idx="4">
                  <c:v>11</c:v>
                </c:pt>
                <c:pt idx="5">
                  <c:v>4</c:v>
                </c:pt>
                <c:pt idx="6">
                  <c:v>2</c:v>
                </c:pt>
                <c:pt idx="8">
                  <c:v>1</c:v>
                </c:pt>
                <c:pt idx="9">
                  <c:v>1</c:v>
                </c:pt>
                <c:pt idx="10">
                  <c:v>7</c:v>
                </c:pt>
                <c:pt idx="11">
                  <c:v>1</c:v>
                </c:pt>
                <c:pt idx="12">
                  <c:v>6</c:v>
                </c:pt>
                <c:pt idx="13">
                  <c:v>1</c:v>
                </c:pt>
                <c:pt idx="14">
                  <c:v>14</c:v>
                </c:pt>
                <c:pt idx="15">
                  <c:v>1</c:v>
                </c:pt>
                <c:pt idx="17">
                  <c:v>2</c:v>
                </c:pt>
              </c:numCache>
            </c:numRef>
          </c:val>
          <c:extLst>
            <c:ext xmlns:c16="http://schemas.microsoft.com/office/drawing/2014/chart" uri="{C3380CC4-5D6E-409C-BE32-E72D297353CC}">
              <c16:uniqueId val="{00000000-FC87-4414-B2B9-F1E9B7EA7D69}"/>
            </c:ext>
          </c:extLst>
        </c:ser>
        <c:ser>
          <c:idx val="1"/>
          <c:order val="1"/>
          <c:tx>
            <c:strRef>
              <c:f>'3'!$C$3:$C$4</c:f>
              <c:strCache>
                <c:ptCount val="1"/>
                <c:pt idx="0">
                  <c:v>SOD OS</c:v>
                </c:pt>
              </c:strCache>
            </c:strRef>
          </c:tx>
          <c:spPr>
            <a:solidFill>
              <a:schemeClr val="accent2"/>
            </a:solidFill>
            <a:ln>
              <a:noFill/>
            </a:ln>
            <a:effectLst/>
            <a:sp3d/>
          </c:spPr>
          <c:invertIfNegative val="0"/>
          <c:cat>
            <c:strRef>
              <c:f>'3'!$A$5:$A$24</c:f>
              <c:strCache>
                <c:ptCount val="19"/>
                <c:pt idx="0">
                  <c:v>AARP </c:v>
                </c:pt>
                <c:pt idx="1">
                  <c:v>AETNA </c:v>
                </c:pt>
                <c:pt idx="2">
                  <c:v>AETNA SLEEP MED</c:v>
                </c:pt>
                <c:pt idx="3">
                  <c:v>BCBS</c:v>
                </c:pt>
                <c:pt idx="4">
                  <c:v>BCBS </c:v>
                </c:pt>
                <c:pt idx="5">
                  <c:v>BCBS SLEEP MED</c:v>
                </c:pt>
                <c:pt idx="6">
                  <c:v>CCH </c:v>
                </c:pt>
                <c:pt idx="7">
                  <c:v>CIGNA </c:v>
                </c:pt>
                <c:pt idx="8">
                  <c:v>GEHA </c:v>
                </c:pt>
                <c:pt idx="9">
                  <c:v>HUMANA</c:v>
                </c:pt>
                <c:pt idx="10">
                  <c:v>HUMANA </c:v>
                </c:pt>
                <c:pt idx="11">
                  <c:v>HUMANA  </c:v>
                </c:pt>
                <c:pt idx="12">
                  <c:v>MEDICARE </c:v>
                </c:pt>
                <c:pt idx="13">
                  <c:v>TRILLIUM </c:v>
                </c:pt>
                <c:pt idx="14">
                  <c:v>UHC </c:v>
                </c:pt>
                <c:pt idx="15">
                  <c:v>UHC SLEEP MED</c:v>
                </c:pt>
                <c:pt idx="16">
                  <c:v>UMR </c:v>
                </c:pt>
                <c:pt idx="17">
                  <c:v>WELLCARE </c:v>
                </c:pt>
                <c:pt idx="18">
                  <c:v>(blank)</c:v>
                </c:pt>
              </c:strCache>
            </c:strRef>
          </c:cat>
          <c:val>
            <c:numRef>
              <c:f>'3'!$C$5:$C$24</c:f>
              <c:numCache>
                <c:formatCode>General</c:formatCode>
                <c:ptCount val="19"/>
                <c:pt idx="14">
                  <c:v>1</c:v>
                </c:pt>
              </c:numCache>
            </c:numRef>
          </c:val>
          <c:extLst>
            <c:ext xmlns:c16="http://schemas.microsoft.com/office/drawing/2014/chart" uri="{C3380CC4-5D6E-409C-BE32-E72D297353CC}">
              <c16:uniqueId val="{00000001-FC87-4414-B2B9-F1E9B7EA7D69}"/>
            </c:ext>
          </c:extLst>
        </c:ser>
        <c:ser>
          <c:idx val="2"/>
          <c:order val="2"/>
          <c:tx>
            <c:strRef>
              <c:f>'3'!$D$3:$D$4</c:f>
              <c:strCache>
                <c:ptCount val="1"/>
                <c:pt idx="0">
                  <c:v>UNC CRANIOFACIAL CENTE</c:v>
                </c:pt>
              </c:strCache>
            </c:strRef>
          </c:tx>
          <c:spPr>
            <a:solidFill>
              <a:schemeClr val="accent3"/>
            </a:solidFill>
            <a:ln>
              <a:noFill/>
            </a:ln>
            <a:effectLst/>
            <a:sp3d/>
          </c:spPr>
          <c:invertIfNegative val="0"/>
          <c:cat>
            <c:strRef>
              <c:f>'3'!$A$5:$A$24</c:f>
              <c:strCache>
                <c:ptCount val="19"/>
                <c:pt idx="0">
                  <c:v>AARP </c:v>
                </c:pt>
                <c:pt idx="1">
                  <c:v>AETNA </c:v>
                </c:pt>
                <c:pt idx="2">
                  <c:v>AETNA SLEEP MED</c:v>
                </c:pt>
                <c:pt idx="3">
                  <c:v>BCBS</c:v>
                </c:pt>
                <c:pt idx="4">
                  <c:v>BCBS </c:v>
                </c:pt>
                <c:pt idx="5">
                  <c:v>BCBS SLEEP MED</c:v>
                </c:pt>
                <c:pt idx="6">
                  <c:v>CCH </c:v>
                </c:pt>
                <c:pt idx="7">
                  <c:v>CIGNA </c:v>
                </c:pt>
                <c:pt idx="8">
                  <c:v>GEHA </c:v>
                </c:pt>
                <c:pt idx="9">
                  <c:v>HUMANA</c:v>
                </c:pt>
                <c:pt idx="10">
                  <c:v>HUMANA </c:v>
                </c:pt>
                <c:pt idx="11">
                  <c:v>HUMANA  </c:v>
                </c:pt>
                <c:pt idx="12">
                  <c:v>MEDICARE </c:v>
                </c:pt>
                <c:pt idx="13">
                  <c:v>TRILLIUM </c:v>
                </c:pt>
                <c:pt idx="14">
                  <c:v>UHC </c:v>
                </c:pt>
                <c:pt idx="15">
                  <c:v>UHC SLEEP MED</c:v>
                </c:pt>
                <c:pt idx="16">
                  <c:v>UMR </c:v>
                </c:pt>
                <c:pt idx="17">
                  <c:v>WELLCARE </c:v>
                </c:pt>
                <c:pt idx="18">
                  <c:v>(blank)</c:v>
                </c:pt>
              </c:strCache>
            </c:strRef>
          </c:cat>
          <c:val>
            <c:numRef>
              <c:f>'3'!$D$5:$D$24</c:f>
              <c:numCache>
                <c:formatCode>General</c:formatCode>
                <c:ptCount val="19"/>
                <c:pt idx="3">
                  <c:v>3</c:v>
                </c:pt>
                <c:pt idx="4">
                  <c:v>4</c:v>
                </c:pt>
                <c:pt idx="6">
                  <c:v>1</c:v>
                </c:pt>
                <c:pt idx="14">
                  <c:v>2</c:v>
                </c:pt>
                <c:pt idx="16">
                  <c:v>1</c:v>
                </c:pt>
              </c:numCache>
            </c:numRef>
          </c:val>
          <c:extLst>
            <c:ext xmlns:c16="http://schemas.microsoft.com/office/drawing/2014/chart" uri="{C3380CC4-5D6E-409C-BE32-E72D297353CC}">
              <c16:uniqueId val="{00000002-FC87-4414-B2B9-F1E9B7EA7D69}"/>
            </c:ext>
          </c:extLst>
        </c:ser>
        <c:ser>
          <c:idx val="3"/>
          <c:order val="3"/>
          <c:tx>
            <c:strRef>
              <c:f>'3'!$E$3:$E$4</c:f>
              <c:strCache>
                <c:ptCount val="1"/>
                <c:pt idx="0">
                  <c:v>UNC ORAL &amp; MAXILL</c:v>
                </c:pt>
              </c:strCache>
            </c:strRef>
          </c:tx>
          <c:spPr>
            <a:solidFill>
              <a:schemeClr val="accent4"/>
            </a:solidFill>
            <a:ln>
              <a:noFill/>
            </a:ln>
            <a:effectLst/>
            <a:sp3d/>
          </c:spPr>
          <c:invertIfNegative val="0"/>
          <c:cat>
            <c:strRef>
              <c:f>'3'!$A$5:$A$24</c:f>
              <c:strCache>
                <c:ptCount val="19"/>
                <c:pt idx="0">
                  <c:v>AARP </c:v>
                </c:pt>
                <c:pt idx="1">
                  <c:v>AETNA </c:v>
                </c:pt>
                <c:pt idx="2">
                  <c:v>AETNA SLEEP MED</c:v>
                </c:pt>
                <c:pt idx="3">
                  <c:v>BCBS</c:v>
                </c:pt>
                <c:pt idx="4">
                  <c:v>BCBS </c:v>
                </c:pt>
                <c:pt idx="5">
                  <c:v>BCBS SLEEP MED</c:v>
                </c:pt>
                <c:pt idx="6">
                  <c:v>CCH </c:v>
                </c:pt>
                <c:pt idx="7">
                  <c:v>CIGNA </c:v>
                </c:pt>
                <c:pt idx="8">
                  <c:v>GEHA </c:v>
                </c:pt>
                <c:pt idx="9">
                  <c:v>HUMANA</c:v>
                </c:pt>
                <c:pt idx="10">
                  <c:v>HUMANA </c:v>
                </c:pt>
                <c:pt idx="11">
                  <c:v>HUMANA  </c:v>
                </c:pt>
                <c:pt idx="12">
                  <c:v>MEDICARE </c:v>
                </c:pt>
                <c:pt idx="13">
                  <c:v>TRILLIUM </c:v>
                </c:pt>
                <c:pt idx="14">
                  <c:v>UHC </c:v>
                </c:pt>
                <c:pt idx="15">
                  <c:v>UHC SLEEP MED</c:v>
                </c:pt>
                <c:pt idx="16">
                  <c:v>UMR </c:v>
                </c:pt>
                <c:pt idx="17">
                  <c:v>WELLCARE </c:v>
                </c:pt>
                <c:pt idx="18">
                  <c:v>(blank)</c:v>
                </c:pt>
              </c:strCache>
            </c:strRef>
          </c:cat>
          <c:val>
            <c:numRef>
              <c:f>'3'!$E$5:$E$24</c:f>
              <c:numCache>
                <c:formatCode>General</c:formatCode>
                <c:ptCount val="19"/>
                <c:pt idx="3">
                  <c:v>4</c:v>
                </c:pt>
                <c:pt idx="4">
                  <c:v>8</c:v>
                </c:pt>
                <c:pt idx="6">
                  <c:v>3</c:v>
                </c:pt>
                <c:pt idx="12">
                  <c:v>4</c:v>
                </c:pt>
                <c:pt idx="13">
                  <c:v>2</c:v>
                </c:pt>
                <c:pt idx="17">
                  <c:v>1</c:v>
                </c:pt>
              </c:numCache>
            </c:numRef>
          </c:val>
          <c:extLst>
            <c:ext xmlns:c16="http://schemas.microsoft.com/office/drawing/2014/chart" uri="{C3380CC4-5D6E-409C-BE32-E72D297353CC}">
              <c16:uniqueId val="{00000003-FC87-4414-B2B9-F1E9B7EA7D69}"/>
            </c:ext>
          </c:extLst>
        </c:ser>
        <c:ser>
          <c:idx val="4"/>
          <c:order val="4"/>
          <c:tx>
            <c:strRef>
              <c:f>'3'!$F$3:$F$4</c:f>
              <c:strCache>
                <c:ptCount val="1"/>
                <c:pt idx="0">
                  <c:v>UNC ORAL &amp; MAXILL PATH</c:v>
                </c:pt>
              </c:strCache>
            </c:strRef>
          </c:tx>
          <c:spPr>
            <a:solidFill>
              <a:schemeClr val="accent5"/>
            </a:solidFill>
            <a:ln>
              <a:noFill/>
            </a:ln>
            <a:effectLst/>
            <a:sp3d/>
          </c:spPr>
          <c:invertIfNegative val="0"/>
          <c:cat>
            <c:strRef>
              <c:f>'3'!$A$5:$A$24</c:f>
              <c:strCache>
                <c:ptCount val="19"/>
                <c:pt idx="0">
                  <c:v>AARP </c:v>
                </c:pt>
                <c:pt idx="1">
                  <c:v>AETNA </c:v>
                </c:pt>
                <c:pt idx="2">
                  <c:v>AETNA SLEEP MED</c:v>
                </c:pt>
                <c:pt idx="3">
                  <c:v>BCBS</c:v>
                </c:pt>
                <c:pt idx="4">
                  <c:v>BCBS </c:v>
                </c:pt>
                <c:pt idx="5">
                  <c:v>BCBS SLEEP MED</c:v>
                </c:pt>
                <c:pt idx="6">
                  <c:v>CCH </c:v>
                </c:pt>
                <c:pt idx="7">
                  <c:v>CIGNA </c:v>
                </c:pt>
                <c:pt idx="8">
                  <c:v>GEHA </c:v>
                </c:pt>
                <c:pt idx="9">
                  <c:v>HUMANA</c:v>
                </c:pt>
                <c:pt idx="10">
                  <c:v>HUMANA </c:v>
                </c:pt>
                <c:pt idx="11">
                  <c:v>HUMANA  </c:v>
                </c:pt>
                <c:pt idx="12">
                  <c:v>MEDICARE </c:v>
                </c:pt>
                <c:pt idx="13">
                  <c:v>TRILLIUM </c:v>
                </c:pt>
                <c:pt idx="14">
                  <c:v>UHC </c:v>
                </c:pt>
                <c:pt idx="15">
                  <c:v>UHC SLEEP MED</c:v>
                </c:pt>
                <c:pt idx="16">
                  <c:v>UMR </c:v>
                </c:pt>
                <c:pt idx="17">
                  <c:v>WELLCARE </c:v>
                </c:pt>
                <c:pt idx="18">
                  <c:v>(blank)</c:v>
                </c:pt>
              </c:strCache>
            </c:strRef>
          </c:cat>
          <c:val>
            <c:numRef>
              <c:f>'3'!$F$5:$F$24</c:f>
              <c:numCache>
                <c:formatCode>General</c:formatCode>
                <c:ptCount val="19"/>
                <c:pt idx="1">
                  <c:v>5</c:v>
                </c:pt>
                <c:pt idx="6">
                  <c:v>2</c:v>
                </c:pt>
                <c:pt idx="7">
                  <c:v>4</c:v>
                </c:pt>
                <c:pt idx="13">
                  <c:v>1</c:v>
                </c:pt>
                <c:pt idx="14">
                  <c:v>7</c:v>
                </c:pt>
                <c:pt idx="16">
                  <c:v>3</c:v>
                </c:pt>
                <c:pt idx="17">
                  <c:v>1</c:v>
                </c:pt>
              </c:numCache>
            </c:numRef>
          </c:val>
          <c:extLst>
            <c:ext xmlns:c16="http://schemas.microsoft.com/office/drawing/2014/chart" uri="{C3380CC4-5D6E-409C-BE32-E72D297353CC}">
              <c16:uniqueId val="{00000004-FC87-4414-B2B9-F1E9B7EA7D69}"/>
            </c:ext>
          </c:extLst>
        </c:ser>
        <c:ser>
          <c:idx val="5"/>
          <c:order val="5"/>
          <c:tx>
            <c:strRef>
              <c:f>'3'!$G$3:$G$4</c:f>
              <c:strCache>
                <c:ptCount val="1"/>
                <c:pt idx="0">
                  <c:v>(blank)</c:v>
                </c:pt>
              </c:strCache>
            </c:strRef>
          </c:tx>
          <c:spPr>
            <a:solidFill>
              <a:schemeClr val="accent6"/>
            </a:solidFill>
            <a:ln>
              <a:noFill/>
            </a:ln>
            <a:effectLst/>
            <a:sp3d/>
          </c:spPr>
          <c:invertIfNegative val="0"/>
          <c:cat>
            <c:strRef>
              <c:f>'3'!$A$5:$A$24</c:f>
              <c:strCache>
                <c:ptCount val="19"/>
                <c:pt idx="0">
                  <c:v>AARP </c:v>
                </c:pt>
                <c:pt idx="1">
                  <c:v>AETNA </c:v>
                </c:pt>
                <c:pt idx="2">
                  <c:v>AETNA SLEEP MED</c:v>
                </c:pt>
                <c:pt idx="3">
                  <c:v>BCBS</c:v>
                </c:pt>
                <c:pt idx="4">
                  <c:v>BCBS </c:v>
                </c:pt>
                <c:pt idx="5">
                  <c:v>BCBS SLEEP MED</c:v>
                </c:pt>
                <c:pt idx="6">
                  <c:v>CCH </c:v>
                </c:pt>
                <c:pt idx="7">
                  <c:v>CIGNA </c:v>
                </c:pt>
                <c:pt idx="8">
                  <c:v>GEHA </c:v>
                </c:pt>
                <c:pt idx="9">
                  <c:v>HUMANA</c:v>
                </c:pt>
                <c:pt idx="10">
                  <c:v>HUMANA </c:v>
                </c:pt>
                <c:pt idx="11">
                  <c:v>HUMANA  </c:v>
                </c:pt>
                <c:pt idx="12">
                  <c:v>MEDICARE </c:v>
                </c:pt>
                <c:pt idx="13">
                  <c:v>TRILLIUM </c:v>
                </c:pt>
                <c:pt idx="14">
                  <c:v>UHC </c:v>
                </c:pt>
                <c:pt idx="15">
                  <c:v>UHC SLEEP MED</c:v>
                </c:pt>
                <c:pt idx="16">
                  <c:v>UMR </c:v>
                </c:pt>
                <c:pt idx="17">
                  <c:v>WELLCARE </c:v>
                </c:pt>
                <c:pt idx="18">
                  <c:v>(blank)</c:v>
                </c:pt>
              </c:strCache>
            </c:strRef>
          </c:cat>
          <c:val>
            <c:numRef>
              <c:f>'3'!$G$5:$G$24</c:f>
              <c:numCache>
                <c:formatCode>General</c:formatCode>
                <c:ptCount val="19"/>
              </c:numCache>
            </c:numRef>
          </c:val>
          <c:extLst>
            <c:ext xmlns:c16="http://schemas.microsoft.com/office/drawing/2014/chart" uri="{C3380CC4-5D6E-409C-BE32-E72D297353CC}">
              <c16:uniqueId val="{00000000-F6BE-47E8-9275-F34296A2068E}"/>
            </c:ext>
          </c:extLst>
        </c:ser>
        <c:dLbls>
          <c:showLegendKey val="0"/>
          <c:showVal val="0"/>
          <c:showCatName val="0"/>
          <c:showSerName val="0"/>
          <c:showPercent val="0"/>
          <c:showBubbleSize val="0"/>
        </c:dLbls>
        <c:gapWidth val="150"/>
        <c:shape val="box"/>
        <c:axId val="505765903"/>
        <c:axId val="505762063"/>
        <c:axId val="0"/>
      </c:bar3DChart>
      <c:catAx>
        <c:axId val="5057659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Insurance Payer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762063"/>
        <c:crosses val="autoZero"/>
        <c:auto val="1"/>
        <c:lblAlgn val="ctr"/>
        <c:lblOffset val="100"/>
        <c:noMultiLvlLbl val="0"/>
      </c:catAx>
      <c:valAx>
        <c:axId val="5057620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Payments</a:t>
                </a:r>
                <a:r>
                  <a:rPr lang="en-US" baseline="0"/>
                  <a:t> Made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765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[EFT Sample Dashboard.xlsx]4!PivotTable10</c:name>
    <c:fmtId val="3"/>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1600"/>
              <a:t>Auto</a:t>
            </a:r>
            <a:r>
              <a:rPr lang="en-US" sz="1600" baseline="0"/>
              <a:t> vs Manual Remits by Department</a:t>
            </a:r>
            <a:endParaRPr lang="en-US" sz="1600"/>
          </a:p>
        </c:rich>
      </c:tx>
      <c:layout>
        <c:manualLayout>
          <c:xMode val="edge"/>
          <c:yMode val="edge"/>
          <c:x val="0.14589924394579559"/>
          <c:y val="4.1666666666666664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5772112860892389"/>
          <c:y val="0.17532188684747738"/>
          <c:w val="0.35757961504811897"/>
          <c:h val="0.62968613298337706"/>
        </c:manualLayout>
      </c:layout>
      <c:bar3DChart>
        <c:barDir val="bar"/>
        <c:grouping val="clustered"/>
        <c:varyColors val="0"/>
        <c:ser>
          <c:idx val="0"/>
          <c:order val="0"/>
          <c:tx>
            <c:strRef>
              <c:f>'4'!$B$3:$B$4</c:f>
              <c:strCache>
                <c:ptCount val="1"/>
                <c:pt idx="0">
                  <c:v>Auto</c:v>
                </c:pt>
              </c:strCache>
            </c:strRef>
          </c:tx>
          <c:spPr>
            <a:solidFill>
              <a:schemeClr val="accent1"/>
            </a:solidFill>
            <a:ln>
              <a:noFill/>
            </a:ln>
            <a:effectLst/>
            <a:sp3d/>
          </c:spPr>
          <c:invertIfNegative val="0"/>
          <c:cat>
            <c:strRef>
              <c:f>'4'!$A$5:$A$11</c:f>
              <c:strCache>
                <c:ptCount val="6"/>
                <c:pt idx="0">
                  <c:v>DENTAL FACULTY PRACTIC</c:v>
                </c:pt>
                <c:pt idx="1">
                  <c:v>SOD OS</c:v>
                </c:pt>
                <c:pt idx="2">
                  <c:v>UNC CRANIOFACIAL CENTE</c:v>
                </c:pt>
                <c:pt idx="3">
                  <c:v>UNC ORAL &amp; MAXILL</c:v>
                </c:pt>
                <c:pt idx="4">
                  <c:v>UNC ORAL &amp; MAXILL PATH</c:v>
                </c:pt>
                <c:pt idx="5">
                  <c:v>(blank)</c:v>
                </c:pt>
              </c:strCache>
            </c:strRef>
          </c:cat>
          <c:val>
            <c:numRef>
              <c:f>'4'!$B$5:$B$11</c:f>
              <c:numCache>
                <c:formatCode>General</c:formatCode>
                <c:ptCount val="6"/>
                <c:pt idx="0">
                  <c:v>50</c:v>
                </c:pt>
                <c:pt idx="2">
                  <c:v>7</c:v>
                </c:pt>
                <c:pt idx="3">
                  <c:v>16</c:v>
                </c:pt>
                <c:pt idx="4">
                  <c:v>23</c:v>
                </c:pt>
              </c:numCache>
            </c:numRef>
          </c:val>
          <c:extLst>
            <c:ext xmlns:c16="http://schemas.microsoft.com/office/drawing/2014/chart" uri="{C3380CC4-5D6E-409C-BE32-E72D297353CC}">
              <c16:uniqueId val="{00000001-BC58-4CDF-94A9-951546A64B4E}"/>
            </c:ext>
          </c:extLst>
        </c:ser>
        <c:ser>
          <c:idx val="1"/>
          <c:order val="1"/>
          <c:tx>
            <c:strRef>
              <c:f>'4'!$C$3:$C$4</c:f>
              <c:strCache>
                <c:ptCount val="1"/>
                <c:pt idx="0">
                  <c:v>Manual </c:v>
                </c:pt>
              </c:strCache>
            </c:strRef>
          </c:tx>
          <c:spPr>
            <a:solidFill>
              <a:schemeClr val="accent2"/>
            </a:solidFill>
            <a:ln>
              <a:noFill/>
            </a:ln>
            <a:effectLst/>
            <a:sp3d/>
          </c:spPr>
          <c:invertIfNegative val="0"/>
          <c:cat>
            <c:strRef>
              <c:f>'4'!$A$5:$A$11</c:f>
              <c:strCache>
                <c:ptCount val="6"/>
                <c:pt idx="0">
                  <c:v>DENTAL FACULTY PRACTIC</c:v>
                </c:pt>
                <c:pt idx="1">
                  <c:v>SOD OS</c:v>
                </c:pt>
                <c:pt idx="2">
                  <c:v>UNC CRANIOFACIAL CENTE</c:v>
                </c:pt>
                <c:pt idx="3">
                  <c:v>UNC ORAL &amp; MAXILL</c:v>
                </c:pt>
                <c:pt idx="4">
                  <c:v>UNC ORAL &amp; MAXILL PATH</c:v>
                </c:pt>
                <c:pt idx="5">
                  <c:v>(blank)</c:v>
                </c:pt>
              </c:strCache>
            </c:strRef>
          </c:cat>
          <c:val>
            <c:numRef>
              <c:f>'4'!$C$5:$C$11</c:f>
              <c:numCache>
                <c:formatCode>General</c:formatCode>
                <c:ptCount val="6"/>
                <c:pt idx="0">
                  <c:v>14</c:v>
                </c:pt>
                <c:pt idx="1">
                  <c:v>1</c:v>
                </c:pt>
                <c:pt idx="2">
                  <c:v>4</c:v>
                </c:pt>
                <c:pt idx="3">
                  <c:v>6</c:v>
                </c:pt>
              </c:numCache>
            </c:numRef>
          </c:val>
          <c:extLst>
            <c:ext xmlns:c16="http://schemas.microsoft.com/office/drawing/2014/chart" uri="{C3380CC4-5D6E-409C-BE32-E72D297353CC}">
              <c16:uniqueId val="{00000003-BC58-4CDF-94A9-951546A64B4E}"/>
            </c:ext>
          </c:extLst>
        </c:ser>
        <c:ser>
          <c:idx val="2"/>
          <c:order val="2"/>
          <c:tx>
            <c:strRef>
              <c:f>'4'!$D$3:$D$4</c:f>
              <c:strCache>
                <c:ptCount val="1"/>
                <c:pt idx="0">
                  <c:v>(blank)</c:v>
                </c:pt>
              </c:strCache>
            </c:strRef>
          </c:tx>
          <c:spPr>
            <a:solidFill>
              <a:schemeClr val="accent3"/>
            </a:solidFill>
            <a:ln>
              <a:noFill/>
            </a:ln>
            <a:effectLst/>
            <a:sp3d/>
          </c:spPr>
          <c:invertIfNegative val="0"/>
          <c:cat>
            <c:strRef>
              <c:f>'4'!$A$5:$A$11</c:f>
              <c:strCache>
                <c:ptCount val="6"/>
                <c:pt idx="0">
                  <c:v>DENTAL FACULTY PRACTIC</c:v>
                </c:pt>
                <c:pt idx="1">
                  <c:v>SOD OS</c:v>
                </c:pt>
                <c:pt idx="2">
                  <c:v>UNC CRANIOFACIAL CENTE</c:v>
                </c:pt>
                <c:pt idx="3">
                  <c:v>UNC ORAL &amp; MAXILL</c:v>
                </c:pt>
                <c:pt idx="4">
                  <c:v>UNC ORAL &amp; MAXILL PATH</c:v>
                </c:pt>
                <c:pt idx="5">
                  <c:v>(blank)</c:v>
                </c:pt>
              </c:strCache>
            </c:strRef>
          </c:cat>
          <c:val>
            <c:numRef>
              <c:f>'4'!$D$5:$D$11</c:f>
              <c:numCache>
                <c:formatCode>General</c:formatCode>
                <c:ptCount val="6"/>
              </c:numCache>
            </c:numRef>
          </c:val>
          <c:extLst>
            <c:ext xmlns:c16="http://schemas.microsoft.com/office/drawing/2014/chart" uri="{C3380CC4-5D6E-409C-BE32-E72D297353CC}">
              <c16:uniqueId val="{00000000-D309-4969-A765-3604AB95AF8D}"/>
            </c:ext>
          </c:extLst>
        </c:ser>
        <c:dLbls>
          <c:showLegendKey val="0"/>
          <c:showVal val="0"/>
          <c:showCatName val="0"/>
          <c:showSerName val="0"/>
          <c:showPercent val="0"/>
          <c:showBubbleSize val="0"/>
        </c:dLbls>
        <c:gapWidth val="150"/>
        <c:shape val="box"/>
        <c:axId val="710697167"/>
        <c:axId val="710698127"/>
        <c:axId val="0"/>
      </c:bar3DChart>
      <c:catAx>
        <c:axId val="7106971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710698127"/>
        <c:crosses val="autoZero"/>
        <c:auto val="1"/>
        <c:lblAlgn val="ctr"/>
        <c:lblOffset val="100"/>
        <c:noMultiLvlLbl val="0"/>
      </c:catAx>
      <c:valAx>
        <c:axId val="71069812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697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[EFT Sample Dashboard.xlsx]5!PivotTable1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Paid</a:t>
            </a:r>
            <a:r>
              <a:rPr lang="en-US" baseline="0"/>
              <a:t> per Payor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'5'!$B$3</c:f>
              <c:strCache>
                <c:ptCount val="1"/>
                <c:pt idx="0">
                  <c:v>Total</c:v>
                </c:pt>
              </c:strCache>
            </c:strRef>
          </c:tx>
          <c:spPr>
            <a:solidFill>
              <a:schemeClr val="accent5"/>
            </a:solidFill>
            <a:ln>
              <a:noFill/>
            </a:ln>
            <a:effectLst/>
            <a:sp3d/>
          </c:spPr>
          <c:invertIfNegative val="0"/>
          <c:cat>
            <c:strRef>
              <c:f>'5'!$A$4:$A$23</c:f>
              <c:strCache>
                <c:ptCount val="19"/>
                <c:pt idx="0">
                  <c:v>AARP </c:v>
                </c:pt>
                <c:pt idx="1">
                  <c:v>AETNA </c:v>
                </c:pt>
                <c:pt idx="2">
                  <c:v>AETNA SLEEP MED</c:v>
                </c:pt>
                <c:pt idx="3">
                  <c:v>BCBS</c:v>
                </c:pt>
                <c:pt idx="4">
                  <c:v>BCBS </c:v>
                </c:pt>
                <c:pt idx="5">
                  <c:v>BCBS SLEEP MED</c:v>
                </c:pt>
                <c:pt idx="6">
                  <c:v>CCH </c:v>
                </c:pt>
                <c:pt idx="7">
                  <c:v>CIGNA </c:v>
                </c:pt>
                <c:pt idx="8">
                  <c:v>GEHA </c:v>
                </c:pt>
                <c:pt idx="9">
                  <c:v>HUMANA</c:v>
                </c:pt>
                <c:pt idx="10">
                  <c:v>HUMANA </c:v>
                </c:pt>
                <c:pt idx="11">
                  <c:v>HUMANA  </c:v>
                </c:pt>
                <c:pt idx="12">
                  <c:v>MEDICARE </c:v>
                </c:pt>
                <c:pt idx="13">
                  <c:v>TRILLIUM </c:v>
                </c:pt>
                <c:pt idx="14">
                  <c:v>UHC </c:v>
                </c:pt>
                <c:pt idx="15">
                  <c:v>UHC SLEEP MED</c:v>
                </c:pt>
                <c:pt idx="16">
                  <c:v>UMR </c:v>
                </c:pt>
                <c:pt idx="17">
                  <c:v>WELLCARE </c:v>
                </c:pt>
                <c:pt idx="18">
                  <c:v>(blank)</c:v>
                </c:pt>
              </c:strCache>
            </c:strRef>
          </c:cat>
          <c:val>
            <c:numRef>
              <c:f>'5'!$B$4:$B$23</c:f>
              <c:numCache>
                <c:formatCode>General</c:formatCode>
                <c:ptCount val="19"/>
                <c:pt idx="0">
                  <c:v>8728</c:v>
                </c:pt>
                <c:pt idx="1">
                  <c:v>145427</c:v>
                </c:pt>
                <c:pt idx="2">
                  <c:v>11570</c:v>
                </c:pt>
                <c:pt idx="3">
                  <c:v>135150</c:v>
                </c:pt>
                <c:pt idx="4">
                  <c:v>352582</c:v>
                </c:pt>
                <c:pt idx="5">
                  <c:v>44840</c:v>
                </c:pt>
                <c:pt idx="6">
                  <c:v>115592</c:v>
                </c:pt>
                <c:pt idx="7">
                  <c:v>77189</c:v>
                </c:pt>
                <c:pt idx="8">
                  <c:v>14620</c:v>
                </c:pt>
                <c:pt idx="9">
                  <c:v>20388</c:v>
                </c:pt>
                <c:pt idx="10">
                  <c:v>70799</c:v>
                </c:pt>
                <c:pt idx="11">
                  <c:v>9783</c:v>
                </c:pt>
                <c:pt idx="12">
                  <c:v>128599</c:v>
                </c:pt>
                <c:pt idx="13">
                  <c:v>48099</c:v>
                </c:pt>
                <c:pt idx="14">
                  <c:v>274913</c:v>
                </c:pt>
                <c:pt idx="15">
                  <c:v>20379</c:v>
                </c:pt>
                <c:pt idx="16">
                  <c:v>46826</c:v>
                </c:pt>
                <c:pt idx="17">
                  <c:v>44598</c:v>
                </c:pt>
              </c:numCache>
            </c:numRef>
          </c:val>
          <c:extLst>
            <c:ext xmlns:c16="http://schemas.microsoft.com/office/drawing/2014/chart" uri="{C3380CC4-5D6E-409C-BE32-E72D297353CC}">
              <c16:uniqueId val="{00000000-6354-49FA-9C01-3C96EF9826E1}"/>
            </c:ext>
          </c:extLst>
        </c:ser>
        <c:dLbls>
          <c:showLegendKey val="0"/>
          <c:showVal val="0"/>
          <c:showCatName val="0"/>
          <c:showSerName val="0"/>
          <c:showPercent val="0"/>
          <c:showBubbleSize val="0"/>
        </c:dLbls>
        <c:gapWidth val="150"/>
        <c:shape val="box"/>
        <c:axId val="1093962319"/>
        <c:axId val="1093957999"/>
        <c:axId val="0"/>
      </c:bar3DChart>
      <c:catAx>
        <c:axId val="10939623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957999"/>
        <c:crosses val="autoZero"/>
        <c:auto val="1"/>
        <c:lblAlgn val="ctr"/>
        <c:lblOffset val="100"/>
        <c:noMultiLvlLbl val="0"/>
      </c:catAx>
      <c:valAx>
        <c:axId val="1093957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962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[EFT Sample Dashboard.xlsx]1!PivotTable6</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Payments Made</a:t>
            </a:r>
            <a:r>
              <a:rPr lang="en-US" baseline="0"/>
              <a:t> Per Department</a:t>
            </a:r>
            <a:endParaRPr lang="en-US"/>
          </a:p>
        </c:rich>
      </c:tx>
      <c:layout>
        <c:manualLayout>
          <c:xMode val="edge"/>
          <c:yMode val="edge"/>
          <c:x val="0.25764566929133859"/>
          <c:y val="4.0645960921551476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pivotFmt>
      <c:pivotFmt>
        <c:idx val="2"/>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pivotFmt>
      <c:pivotFmt>
        <c:idx val="3"/>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pivotFmt>
      <c:pivotFmt>
        <c:idx val="4"/>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pivotFmt>
      <c:pivotFmt>
        <c:idx val="5"/>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dLbl>
          <c:idx val="0"/>
          <c:layout>
            <c:manualLayout>
              <c:x val="3.8956692913385826E-2"/>
              <c:y val="-0.152019174686497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1668416447944006"/>
          <c:y val="0.24939596092155147"/>
          <c:w val="0.41147353455818025"/>
          <c:h val="0.68578922426363376"/>
        </c:manualLayout>
      </c:layout>
      <c:pieChart>
        <c:varyColors val="1"/>
        <c:ser>
          <c:idx val="0"/>
          <c:order val="0"/>
          <c:tx>
            <c:strRef>
              <c:f>'1'!$B$3</c:f>
              <c:strCache>
                <c:ptCount val="1"/>
                <c:pt idx="0">
                  <c:v>Total</c:v>
                </c:pt>
              </c:strCache>
            </c:strRef>
          </c:tx>
          <c:dPt>
            <c:idx val="0"/>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2-8A3B-43B7-B20A-31C13AE88143}"/>
              </c:ext>
            </c:extLst>
          </c:dPt>
          <c:dPt>
            <c:idx val="1"/>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6-8A3B-43B7-B20A-31C13AE88143}"/>
              </c:ext>
            </c:extLst>
          </c:dPt>
          <c:dPt>
            <c:idx val="2"/>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05-8A3B-43B7-B20A-31C13AE88143}"/>
              </c:ext>
            </c:extLst>
          </c:dPt>
          <c:dPt>
            <c:idx val="3"/>
            <c:bubble3D val="0"/>
            <c:spPr>
              <a:pattFill prst="ltUpDiag">
                <a:fgClr>
                  <a:schemeClr val="accent2">
                    <a:lumMod val="60000"/>
                  </a:schemeClr>
                </a:fgClr>
                <a:bgClr>
                  <a:schemeClr val="accent2">
                    <a:lumMod val="60000"/>
                    <a:lumMod val="20000"/>
                    <a:lumOff val="80000"/>
                  </a:schemeClr>
                </a:bgClr>
              </a:pattFill>
              <a:ln w="19050">
                <a:solidFill>
                  <a:schemeClr val="lt1"/>
                </a:solidFill>
              </a:ln>
              <a:effectLst>
                <a:innerShdw blurRad="114300">
                  <a:schemeClr val="accent2">
                    <a:lumMod val="60000"/>
                  </a:schemeClr>
                </a:innerShdw>
              </a:effectLst>
            </c:spPr>
            <c:extLst>
              <c:ext xmlns:c16="http://schemas.microsoft.com/office/drawing/2014/chart" uri="{C3380CC4-5D6E-409C-BE32-E72D297353CC}">
                <c16:uniqueId val="{00000004-8A3B-43B7-B20A-31C13AE88143}"/>
              </c:ext>
            </c:extLst>
          </c:dPt>
          <c:dPt>
            <c:idx val="4"/>
            <c:bubble3D val="0"/>
            <c:spPr>
              <a:pattFill prst="ltUpDiag">
                <a:fgClr>
                  <a:schemeClr val="accent4">
                    <a:lumMod val="60000"/>
                  </a:schemeClr>
                </a:fgClr>
                <a:bgClr>
                  <a:schemeClr val="accent4">
                    <a:lumMod val="60000"/>
                    <a:lumMod val="20000"/>
                    <a:lumOff val="80000"/>
                  </a:schemeClr>
                </a:bgClr>
              </a:pattFill>
              <a:ln w="19050">
                <a:solidFill>
                  <a:schemeClr val="lt1"/>
                </a:solidFill>
              </a:ln>
              <a:effectLst>
                <a:innerShdw blurRad="114300">
                  <a:schemeClr val="accent4">
                    <a:lumMod val="60000"/>
                  </a:schemeClr>
                </a:innerShdw>
              </a:effectLst>
            </c:spPr>
            <c:extLst>
              <c:ext xmlns:c16="http://schemas.microsoft.com/office/drawing/2014/chart" uri="{C3380CC4-5D6E-409C-BE32-E72D297353CC}">
                <c16:uniqueId val="{00000003-8A3B-43B7-B20A-31C13AE88143}"/>
              </c:ext>
            </c:extLst>
          </c:dPt>
          <c:dPt>
            <c:idx val="5"/>
            <c:bubble3D val="0"/>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dPt>
          <c:dLbls>
            <c:dLbl>
              <c:idx val="1"/>
              <c:layout>
                <c:manualLayout>
                  <c:x val="3.8956692913385826E-2"/>
                  <c:y val="-0.1520191746864975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8A3B-43B7-B20A-31C13AE8814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'1'!$A$4:$A$10</c:f>
              <c:strCache>
                <c:ptCount val="6"/>
                <c:pt idx="0">
                  <c:v>DENTAL FACULTY PRACTIC</c:v>
                </c:pt>
                <c:pt idx="1">
                  <c:v>SOD OS</c:v>
                </c:pt>
                <c:pt idx="2">
                  <c:v>UNC CRANIOFACIAL CENTE</c:v>
                </c:pt>
                <c:pt idx="3">
                  <c:v>UNC ORAL &amp; MAXILL</c:v>
                </c:pt>
                <c:pt idx="4">
                  <c:v>UNC ORAL &amp; MAXILL PATH</c:v>
                </c:pt>
                <c:pt idx="5">
                  <c:v>(blank)</c:v>
                </c:pt>
              </c:strCache>
            </c:strRef>
          </c:cat>
          <c:val>
            <c:numRef>
              <c:f>'1'!$B$4:$B$10</c:f>
              <c:numCache>
                <c:formatCode>General</c:formatCode>
                <c:ptCount val="6"/>
                <c:pt idx="0">
                  <c:v>64</c:v>
                </c:pt>
                <c:pt idx="1">
                  <c:v>1</c:v>
                </c:pt>
                <c:pt idx="2">
                  <c:v>11</c:v>
                </c:pt>
                <c:pt idx="3">
                  <c:v>22</c:v>
                </c:pt>
                <c:pt idx="4">
                  <c:v>23</c:v>
                </c:pt>
              </c:numCache>
            </c:numRef>
          </c:val>
          <c:extLst>
            <c:ext xmlns:c16="http://schemas.microsoft.com/office/drawing/2014/chart" uri="{C3380CC4-5D6E-409C-BE32-E72D297353CC}">
              <c16:uniqueId val="{00000000-8A3B-43B7-B20A-31C13AE88143}"/>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[EFT Sample Dashboard.xlsx]2!PivotTable4</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'2'!$B$3:$B$4</c:f>
              <c:strCache>
                <c:ptCount val="1"/>
                <c:pt idx="0">
                  <c:v>Auto</c:v>
                </c:pt>
              </c:strCache>
            </c:strRef>
          </c:tx>
          <c:spPr>
            <a:solidFill>
              <a:schemeClr val="accent1"/>
            </a:solidFill>
            <a:ln>
              <a:noFill/>
            </a:ln>
            <a:effectLst/>
          </c:spPr>
          <c:invertIfNegative val="0"/>
          <c:cat>
            <c:multiLvlStrRef>
              <c:f>'2'!$A$5:$A$47</c:f>
              <c:multiLvlStrCache>
                <c:ptCount val="36"/>
                <c:lvl>
                  <c:pt idx="0">
                    <c:v>AARP </c:v>
                  </c:pt>
                  <c:pt idx="1">
                    <c:v>AETNA </c:v>
                  </c:pt>
                  <c:pt idx="2">
                    <c:v>AETNA SLEEP MED</c:v>
                  </c:pt>
                  <c:pt idx="3">
                    <c:v>BCBS</c:v>
                  </c:pt>
                  <c:pt idx="4">
                    <c:v>BCBS </c:v>
                  </c:pt>
                  <c:pt idx="5">
                    <c:v>BCBS SLEEP MED</c:v>
                  </c:pt>
                  <c:pt idx="6">
                    <c:v>CCH </c:v>
                  </c:pt>
                  <c:pt idx="7">
                    <c:v>GEHA </c:v>
                  </c:pt>
                  <c:pt idx="8">
                    <c:v>HUMANA</c:v>
                  </c:pt>
                  <c:pt idx="9">
                    <c:v>HUMANA </c:v>
                  </c:pt>
                  <c:pt idx="10">
                    <c:v>HUMANA  </c:v>
                  </c:pt>
                  <c:pt idx="11">
                    <c:v>MEDICARE </c:v>
                  </c:pt>
                  <c:pt idx="12">
                    <c:v>TRILLIUM </c:v>
                  </c:pt>
                  <c:pt idx="13">
                    <c:v>UHC </c:v>
                  </c:pt>
                  <c:pt idx="14">
                    <c:v>UHC SLEEP MED</c:v>
                  </c:pt>
                  <c:pt idx="15">
                    <c:v>WELLCARE </c:v>
                  </c:pt>
                  <c:pt idx="16">
                    <c:v>UHC </c:v>
                  </c:pt>
                  <c:pt idx="17">
                    <c:v>BCBS</c:v>
                  </c:pt>
                  <c:pt idx="18">
                    <c:v>BCBS </c:v>
                  </c:pt>
                  <c:pt idx="19">
                    <c:v>CCH </c:v>
                  </c:pt>
                  <c:pt idx="20">
                    <c:v>UHC </c:v>
                  </c:pt>
                  <c:pt idx="21">
                    <c:v>UMR </c:v>
                  </c:pt>
                  <c:pt idx="22">
                    <c:v>BCBS</c:v>
                  </c:pt>
                  <c:pt idx="23">
                    <c:v>BCBS </c:v>
                  </c:pt>
                  <c:pt idx="24">
                    <c:v>CCH </c:v>
                  </c:pt>
                  <c:pt idx="25">
                    <c:v>MEDICARE </c:v>
                  </c:pt>
                  <c:pt idx="26">
                    <c:v>TRILLIUM </c:v>
                  </c:pt>
                  <c:pt idx="27">
                    <c:v>WELLCARE </c:v>
                  </c:pt>
                  <c:pt idx="28">
                    <c:v>AETNA </c:v>
                  </c:pt>
                  <c:pt idx="29">
                    <c:v>CCH </c:v>
                  </c:pt>
                  <c:pt idx="30">
                    <c:v>CIGNA </c:v>
                  </c:pt>
                  <c:pt idx="31">
                    <c:v>TRILLIUM </c:v>
                  </c:pt>
                  <c:pt idx="32">
                    <c:v>UHC </c:v>
                  </c:pt>
                  <c:pt idx="33">
                    <c:v>UMR </c:v>
                  </c:pt>
                  <c:pt idx="34">
                    <c:v>WELLCARE </c:v>
                  </c:pt>
                  <c:pt idx="35">
                    <c:v>(blank)</c:v>
                  </c:pt>
                </c:lvl>
                <c:lvl>
                  <c:pt idx="0">
                    <c:v>DENTAL FACULTY PRACTIC</c:v>
                  </c:pt>
                  <c:pt idx="16">
                    <c:v>SOD OS</c:v>
                  </c:pt>
                  <c:pt idx="17">
                    <c:v>UNC CRANIOFACIAL CENTE</c:v>
                  </c:pt>
                  <c:pt idx="22">
                    <c:v>UNC ORAL &amp; MAXILL</c:v>
                  </c:pt>
                  <c:pt idx="28">
                    <c:v>UNC ORAL &amp; MAXILL PATH</c:v>
                  </c:pt>
                  <c:pt idx="35">
                    <c:v>(blank)</c:v>
                  </c:pt>
                </c:lvl>
              </c:multiLvlStrCache>
            </c:multiLvlStrRef>
          </c:cat>
          <c:val>
            <c:numRef>
              <c:f>'2'!$B$5:$B$47</c:f>
              <c:numCache>
                <c:formatCode>General</c:formatCode>
                <c:ptCount val="36"/>
                <c:pt idx="0">
                  <c:v>1</c:v>
                </c:pt>
                <c:pt idx="1">
                  <c:v>7</c:v>
                </c:pt>
                <c:pt idx="3">
                  <c:v>3</c:v>
                </c:pt>
                <c:pt idx="4">
                  <c:v>11</c:v>
                </c:pt>
                <c:pt idx="7">
                  <c:v>1</c:v>
                </c:pt>
                <c:pt idx="9">
                  <c:v>7</c:v>
                </c:pt>
                <c:pt idx="11">
                  <c:v>6</c:v>
                </c:pt>
                <c:pt idx="13">
                  <c:v>14</c:v>
                </c:pt>
                <c:pt idx="17">
                  <c:v>3</c:v>
                </c:pt>
                <c:pt idx="18">
                  <c:v>4</c:v>
                </c:pt>
                <c:pt idx="22">
                  <c:v>4</c:v>
                </c:pt>
                <c:pt idx="23">
                  <c:v>8</c:v>
                </c:pt>
                <c:pt idx="25">
                  <c:v>4</c:v>
                </c:pt>
                <c:pt idx="28">
                  <c:v>5</c:v>
                </c:pt>
                <c:pt idx="29">
                  <c:v>2</c:v>
                </c:pt>
                <c:pt idx="30">
                  <c:v>4</c:v>
                </c:pt>
                <c:pt idx="31">
                  <c:v>1</c:v>
                </c:pt>
                <c:pt idx="32">
                  <c:v>7</c:v>
                </c:pt>
                <c:pt idx="33">
                  <c:v>3</c:v>
                </c:pt>
                <c:pt idx="34">
                  <c:v>1</c:v>
                </c:pt>
              </c:numCache>
            </c:numRef>
          </c:val>
          <c:extLst>
            <c:ext xmlns:c16="http://schemas.microsoft.com/office/drawing/2014/chart" uri="{C3380CC4-5D6E-409C-BE32-E72D297353CC}">
              <c16:uniqueId val="{00000000-8643-4BF0-8F2F-38F6B6A60EC5}"/>
            </c:ext>
          </c:extLst>
        </c:ser>
        <c:ser>
          <c:idx val="1"/>
          <c:order val="1"/>
          <c:tx>
            <c:strRef>
              <c:f>'2'!$C$3:$C$4</c:f>
              <c:strCache>
                <c:ptCount val="1"/>
                <c:pt idx="0">
                  <c:v>Manual </c:v>
                </c:pt>
              </c:strCache>
            </c:strRef>
          </c:tx>
          <c:spPr>
            <a:solidFill>
              <a:schemeClr val="accent2"/>
            </a:solidFill>
            <a:ln>
              <a:noFill/>
            </a:ln>
            <a:effectLst/>
          </c:spPr>
          <c:invertIfNegative val="0"/>
          <c:cat>
            <c:multiLvlStrRef>
              <c:f>'2'!$A$5:$A$47</c:f>
              <c:multiLvlStrCache>
                <c:ptCount val="36"/>
                <c:lvl>
                  <c:pt idx="0">
                    <c:v>AARP </c:v>
                  </c:pt>
                  <c:pt idx="1">
                    <c:v>AETNA </c:v>
                  </c:pt>
                  <c:pt idx="2">
                    <c:v>AETNA SLEEP MED</c:v>
                  </c:pt>
                  <c:pt idx="3">
                    <c:v>BCBS</c:v>
                  </c:pt>
                  <c:pt idx="4">
                    <c:v>BCBS </c:v>
                  </c:pt>
                  <c:pt idx="5">
                    <c:v>BCBS SLEEP MED</c:v>
                  </c:pt>
                  <c:pt idx="6">
                    <c:v>CCH </c:v>
                  </c:pt>
                  <c:pt idx="7">
                    <c:v>GEHA </c:v>
                  </c:pt>
                  <c:pt idx="8">
                    <c:v>HUMANA</c:v>
                  </c:pt>
                  <c:pt idx="9">
                    <c:v>HUMANA </c:v>
                  </c:pt>
                  <c:pt idx="10">
                    <c:v>HUMANA  </c:v>
                  </c:pt>
                  <c:pt idx="11">
                    <c:v>MEDICARE </c:v>
                  </c:pt>
                  <c:pt idx="12">
                    <c:v>TRILLIUM </c:v>
                  </c:pt>
                  <c:pt idx="13">
                    <c:v>UHC </c:v>
                  </c:pt>
                  <c:pt idx="14">
                    <c:v>UHC SLEEP MED</c:v>
                  </c:pt>
                  <c:pt idx="15">
                    <c:v>WELLCARE </c:v>
                  </c:pt>
                  <c:pt idx="16">
                    <c:v>UHC </c:v>
                  </c:pt>
                  <c:pt idx="17">
                    <c:v>BCBS</c:v>
                  </c:pt>
                  <c:pt idx="18">
                    <c:v>BCBS </c:v>
                  </c:pt>
                  <c:pt idx="19">
                    <c:v>CCH </c:v>
                  </c:pt>
                  <c:pt idx="20">
                    <c:v>UHC </c:v>
                  </c:pt>
                  <c:pt idx="21">
                    <c:v>UMR </c:v>
                  </c:pt>
                  <c:pt idx="22">
                    <c:v>BCBS</c:v>
                  </c:pt>
                  <c:pt idx="23">
                    <c:v>BCBS </c:v>
                  </c:pt>
                  <c:pt idx="24">
                    <c:v>CCH </c:v>
                  </c:pt>
                  <c:pt idx="25">
                    <c:v>MEDICARE </c:v>
                  </c:pt>
                  <c:pt idx="26">
                    <c:v>TRILLIUM </c:v>
                  </c:pt>
                  <c:pt idx="27">
                    <c:v>WELLCARE </c:v>
                  </c:pt>
                  <c:pt idx="28">
                    <c:v>AETNA </c:v>
                  </c:pt>
                  <c:pt idx="29">
                    <c:v>CCH </c:v>
                  </c:pt>
                  <c:pt idx="30">
                    <c:v>CIGNA </c:v>
                  </c:pt>
                  <c:pt idx="31">
                    <c:v>TRILLIUM </c:v>
                  </c:pt>
                  <c:pt idx="32">
                    <c:v>UHC </c:v>
                  </c:pt>
                  <c:pt idx="33">
                    <c:v>UMR </c:v>
                  </c:pt>
                  <c:pt idx="34">
                    <c:v>WELLCARE </c:v>
                  </c:pt>
                  <c:pt idx="35">
                    <c:v>(blank)</c:v>
                  </c:pt>
                </c:lvl>
                <c:lvl>
                  <c:pt idx="0">
                    <c:v>DENTAL FACULTY PRACTIC</c:v>
                  </c:pt>
                  <c:pt idx="16">
                    <c:v>SOD OS</c:v>
                  </c:pt>
                  <c:pt idx="17">
                    <c:v>UNC CRANIOFACIAL CENTE</c:v>
                  </c:pt>
                  <c:pt idx="22">
                    <c:v>UNC ORAL &amp; MAXILL</c:v>
                  </c:pt>
                  <c:pt idx="28">
                    <c:v>UNC ORAL &amp; MAXILL PATH</c:v>
                  </c:pt>
                  <c:pt idx="35">
                    <c:v>(blank)</c:v>
                  </c:pt>
                </c:lvl>
              </c:multiLvlStrCache>
            </c:multiLvlStrRef>
          </c:cat>
          <c:val>
            <c:numRef>
              <c:f>'2'!$C$5:$C$47</c:f>
              <c:numCache>
                <c:formatCode>General</c:formatCode>
                <c:ptCount val="36"/>
                <c:pt idx="2">
                  <c:v>2</c:v>
                </c:pt>
                <c:pt idx="5">
                  <c:v>4</c:v>
                </c:pt>
                <c:pt idx="6">
                  <c:v>2</c:v>
                </c:pt>
                <c:pt idx="8">
                  <c:v>1</c:v>
                </c:pt>
                <c:pt idx="10">
                  <c:v>1</c:v>
                </c:pt>
                <c:pt idx="12">
                  <c:v>1</c:v>
                </c:pt>
                <c:pt idx="14">
                  <c:v>1</c:v>
                </c:pt>
                <c:pt idx="15">
                  <c:v>2</c:v>
                </c:pt>
                <c:pt idx="16">
                  <c:v>1</c:v>
                </c:pt>
                <c:pt idx="19">
                  <c:v>1</c:v>
                </c:pt>
                <c:pt idx="20">
                  <c:v>2</c:v>
                </c:pt>
                <c:pt idx="21">
                  <c:v>1</c:v>
                </c:pt>
                <c:pt idx="24">
                  <c:v>3</c:v>
                </c:pt>
                <c:pt idx="26">
                  <c:v>2</c:v>
                </c:pt>
                <c:pt idx="27">
                  <c:v>1</c:v>
                </c:pt>
              </c:numCache>
            </c:numRef>
          </c:val>
          <c:extLst>
            <c:ext xmlns:c16="http://schemas.microsoft.com/office/drawing/2014/chart" uri="{C3380CC4-5D6E-409C-BE32-E72D297353CC}">
              <c16:uniqueId val="{00000000-31FD-4CCA-88D5-25DA0693C093}"/>
            </c:ext>
          </c:extLst>
        </c:ser>
        <c:ser>
          <c:idx val="2"/>
          <c:order val="2"/>
          <c:tx>
            <c:strRef>
              <c:f>'2'!$D$3:$D$4</c:f>
              <c:strCache>
                <c:ptCount val="1"/>
                <c:pt idx="0">
                  <c:v>(blank)</c:v>
                </c:pt>
              </c:strCache>
            </c:strRef>
          </c:tx>
          <c:spPr>
            <a:solidFill>
              <a:schemeClr val="accent3"/>
            </a:solidFill>
            <a:ln>
              <a:noFill/>
            </a:ln>
            <a:effectLst/>
          </c:spPr>
          <c:invertIfNegative val="0"/>
          <c:cat>
            <c:multiLvlStrRef>
              <c:f>'2'!$A$5:$A$47</c:f>
              <c:multiLvlStrCache>
                <c:ptCount val="36"/>
                <c:lvl>
                  <c:pt idx="0">
                    <c:v>AARP </c:v>
                  </c:pt>
                  <c:pt idx="1">
                    <c:v>AETNA </c:v>
                  </c:pt>
                  <c:pt idx="2">
                    <c:v>AETNA SLEEP MED</c:v>
                  </c:pt>
                  <c:pt idx="3">
                    <c:v>BCBS</c:v>
                  </c:pt>
                  <c:pt idx="4">
                    <c:v>BCBS </c:v>
                  </c:pt>
                  <c:pt idx="5">
                    <c:v>BCBS SLEEP MED</c:v>
                  </c:pt>
                  <c:pt idx="6">
                    <c:v>CCH </c:v>
                  </c:pt>
                  <c:pt idx="7">
                    <c:v>GEHA </c:v>
                  </c:pt>
                  <c:pt idx="8">
                    <c:v>HUMANA</c:v>
                  </c:pt>
                  <c:pt idx="9">
                    <c:v>HUMANA </c:v>
                  </c:pt>
                  <c:pt idx="10">
                    <c:v>HUMANA  </c:v>
                  </c:pt>
                  <c:pt idx="11">
                    <c:v>MEDICARE </c:v>
                  </c:pt>
                  <c:pt idx="12">
                    <c:v>TRILLIUM </c:v>
                  </c:pt>
                  <c:pt idx="13">
                    <c:v>UHC </c:v>
                  </c:pt>
                  <c:pt idx="14">
                    <c:v>UHC SLEEP MED</c:v>
                  </c:pt>
                  <c:pt idx="15">
                    <c:v>WELLCARE </c:v>
                  </c:pt>
                  <c:pt idx="16">
                    <c:v>UHC </c:v>
                  </c:pt>
                  <c:pt idx="17">
                    <c:v>BCBS</c:v>
                  </c:pt>
                  <c:pt idx="18">
                    <c:v>BCBS </c:v>
                  </c:pt>
                  <c:pt idx="19">
                    <c:v>CCH </c:v>
                  </c:pt>
                  <c:pt idx="20">
                    <c:v>UHC </c:v>
                  </c:pt>
                  <c:pt idx="21">
                    <c:v>UMR </c:v>
                  </c:pt>
                  <c:pt idx="22">
                    <c:v>BCBS</c:v>
                  </c:pt>
                  <c:pt idx="23">
                    <c:v>BCBS </c:v>
                  </c:pt>
                  <c:pt idx="24">
                    <c:v>CCH </c:v>
                  </c:pt>
                  <c:pt idx="25">
                    <c:v>MEDICARE </c:v>
                  </c:pt>
                  <c:pt idx="26">
                    <c:v>TRILLIUM </c:v>
                  </c:pt>
                  <c:pt idx="27">
                    <c:v>WELLCARE </c:v>
                  </c:pt>
                  <c:pt idx="28">
                    <c:v>AETNA </c:v>
                  </c:pt>
                  <c:pt idx="29">
                    <c:v>CCH </c:v>
                  </c:pt>
                  <c:pt idx="30">
                    <c:v>CIGNA </c:v>
                  </c:pt>
                  <c:pt idx="31">
                    <c:v>TRILLIUM </c:v>
                  </c:pt>
                  <c:pt idx="32">
                    <c:v>UHC </c:v>
                  </c:pt>
                  <c:pt idx="33">
                    <c:v>UMR </c:v>
                  </c:pt>
                  <c:pt idx="34">
                    <c:v>WELLCARE </c:v>
                  </c:pt>
                  <c:pt idx="35">
                    <c:v>(blank)</c:v>
                  </c:pt>
                </c:lvl>
                <c:lvl>
                  <c:pt idx="0">
                    <c:v>DENTAL FACULTY PRACTIC</c:v>
                  </c:pt>
                  <c:pt idx="16">
                    <c:v>SOD OS</c:v>
                  </c:pt>
                  <c:pt idx="17">
                    <c:v>UNC CRANIOFACIAL CENTE</c:v>
                  </c:pt>
                  <c:pt idx="22">
                    <c:v>UNC ORAL &amp; MAXILL</c:v>
                  </c:pt>
                  <c:pt idx="28">
                    <c:v>UNC ORAL &amp; MAXILL PATH</c:v>
                  </c:pt>
                  <c:pt idx="35">
                    <c:v>(blank)</c:v>
                  </c:pt>
                </c:lvl>
              </c:multiLvlStrCache>
            </c:multiLvlStrRef>
          </c:cat>
          <c:val>
            <c:numRef>
              <c:f>'2'!$D$5:$D$47</c:f>
              <c:numCache>
                <c:formatCode>General</c:formatCode>
                <c:ptCount val="36"/>
              </c:numCache>
            </c:numRef>
          </c:val>
          <c:extLst>
            <c:ext xmlns:c16="http://schemas.microsoft.com/office/drawing/2014/chart" uri="{C3380CC4-5D6E-409C-BE32-E72D297353CC}">
              <c16:uniqueId val="{00000000-AFCF-4271-AD5E-D973F7D223C9}"/>
            </c:ext>
          </c:extLst>
        </c:ser>
        <c:dLbls>
          <c:showLegendKey val="0"/>
          <c:showVal val="0"/>
          <c:showCatName val="0"/>
          <c:showSerName val="0"/>
          <c:showPercent val="0"/>
          <c:showBubbleSize val="0"/>
        </c:dLbls>
        <c:gapWidth val="150"/>
        <c:overlap val="100"/>
        <c:axId val="712666063"/>
        <c:axId val="712666543"/>
      </c:barChart>
      <c:catAx>
        <c:axId val="712666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666543"/>
        <c:crosses val="autoZero"/>
        <c:auto val="1"/>
        <c:lblAlgn val="ctr"/>
        <c:lblOffset val="100"/>
        <c:noMultiLvlLbl val="0"/>
      </c:catAx>
      <c:valAx>
        <c:axId val="712666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666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[EFT Sample Dashboard.xlsx]3!PivotTable9</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'3'!$B$3:$B$4</c:f>
              <c:strCache>
                <c:ptCount val="1"/>
                <c:pt idx="0">
                  <c:v>DENTAL FACULTY PRACTIC</c:v>
                </c:pt>
              </c:strCache>
            </c:strRef>
          </c:tx>
          <c:spPr>
            <a:solidFill>
              <a:schemeClr val="accent1"/>
            </a:solidFill>
            <a:ln>
              <a:noFill/>
            </a:ln>
            <a:effectLst/>
            <a:sp3d/>
          </c:spPr>
          <c:invertIfNegative val="0"/>
          <c:cat>
            <c:strRef>
              <c:f>'3'!$A$5:$A$24</c:f>
              <c:strCache>
                <c:ptCount val="19"/>
                <c:pt idx="0">
                  <c:v>AARP </c:v>
                </c:pt>
                <c:pt idx="1">
                  <c:v>AETNA </c:v>
                </c:pt>
                <c:pt idx="2">
                  <c:v>AETNA SLEEP MED</c:v>
                </c:pt>
                <c:pt idx="3">
                  <c:v>BCBS</c:v>
                </c:pt>
                <c:pt idx="4">
                  <c:v>BCBS </c:v>
                </c:pt>
                <c:pt idx="5">
                  <c:v>BCBS SLEEP MED</c:v>
                </c:pt>
                <c:pt idx="6">
                  <c:v>CCH </c:v>
                </c:pt>
                <c:pt idx="7">
                  <c:v>CIGNA </c:v>
                </c:pt>
                <c:pt idx="8">
                  <c:v>GEHA </c:v>
                </c:pt>
                <c:pt idx="9">
                  <c:v>HUMANA</c:v>
                </c:pt>
                <c:pt idx="10">
                  <c:v>HUMANA </c:v>
                </c:pt>
                <c:pt idx="11">
                  <c:v>HUMANA  </c:v>
                </c:pt>
                <c:pt idx="12">
                  <c:v>MEDICARE </c:v>
                </c:pt>
                <c:pt idx="13">
                  <c:v>TRILLIUM </c:v>
                </c:pt>
                <c:pt idx="14">
                  <c:v>UHC </c:v>
                </c:pt>
                <c:pt idx="15">
                  <c:v>UHC SLEEP MED</c:v>
                </c:pt>
                <c:pt idx="16">
                  <c:v>UMR </c:v>
                </c:pt>
                <c:pt idx="17">
                  <c:v>WELLCARE </c:v>
                </c:pt>
                <c:pt idx="18">
                  <c:v>(blank)</c:v>
                </c:pt>
              </c:strCache>
            </c:strRef>
          </c:cat>
          <c:val>
            <c:numRef>
              <c:f>'3'!$B$5:$B$24</c:f>
              <c:numCache>
                <c:formatCode>General</c:formatCode>
                <c:ptCount val="19"/>
                <c:pt idx="0">
                  <c:v>1</c:v>
                </c:pt>
                <c:pt idx="1">
                  <c:v>7</c:v>
                </c:pt>
                <c:pt idx="2">
                  <c:v>2</c:v>
                </c:pt>
                <c:pt idx="3">
                  <c:v>3</c:v>
                </c:pt>
                <c:pt idx="4">
                  <c:v>11</c:v>
                </c:pt>
                <c:pt idx="5">
                  <c:v>4</c:v>
                </c:pt>
                <c:pt idx="6">
                  <c:v>2</c:v>
                </c:pt>
                <c:pt idx="8">
                  <c:v>1</c:v>
                </c:pt>
                <c:pt idx="9">
                  <c:v>1</c:v>
                </c:pt>
                <c:pt idx="10">
                  <c:v>7</c:v>
                </c:pt>
                <c:pt idx="11">
                  <c:v>1</c:v>
                </c:pt>
                <c:pt idx="12">
                  <c:v>6</c:v>
                </c:pt>
                <c:pt idx="13">
                  <c:v>1</c:v>
                </c:pt>
                <c:pt idx="14">
                  <c:v>14</c:v>
                </c:pt>
                <c:pt idx="15">
                  <c:v>1</c:v>
                </c:pt>
                <c:pt idx="17">
                  <c:v>2</c:v>
                </c:pt>
              </c:numCache>
            </c:numRef>
          </c:val>
          <c:extLst>
            <c:ext xmlns:c16="http://schemas.microsoft.com/office/drawing/2014/chart" uri="{C3380CC4-5D6E-409C-BE32-E72D297353CC}">
              <c16:uniqueId val="{00000000-401F-4A04-A157-BE5BC53CCCFF}"/>
            </c:ext>
          </c:extLst>
        </c:ser>
        <c:ser>
          <c:idx val="1"/>
          <c:order val="1"/>
          <c:tx>
            <c:strRef>
              <c:f>'3'!$C$3:$C$4</c:f>
              <c:strCache>
                <c:ptCount val="1"/>
                <c:pt idx="0">
                  <c:v>SOD OS</c:v>
                </c:pt>
              </c:strCache>
            </c:strRef>
          </c:tx>
          <c:spPr>
            <a:solidFill>
              <a:schemeClr val="accent2"/>
            </a:solidFill>
            <a:ln>
              <a:noFill/>
            </a:ln>
            <a:effectLst/>
            <a:sp3d/>
          </c:spPr>
          <c:invertIfNegative val="0"/>
          <c:cat>
            <c:strRef>
              <c:f>'3'!$A$5:$A$24</c:f>
              <c:strCache>
                <c:ptCount val="19"/>
                <c:pt idx="0">
                  <c:v>AARP </c:v>
                </c:pt>
                <c:pt idx="1">
                  <c:v>AETNA </c:v>
                </c:pt>
                <c:pt idx="2">
                  <c:v>AETNA SLEEP MED</c:v>
                </c:pt>
                <c:pt idx="3">
                  <c:v>BCBS</c:v>
                </c:pt>
                <c:pt idx="4">
                  <c:v>BCBS </c:v>
                </c:pt>
                <c:pt idx="5">
                  <c:v>BCBS SLEEP MED</c:v>
                </c:pt>
                <c:pt idx="6">
                  <c:v>CCH </c:v>
                </c:pt>
                <c:pt idx="7">
                  <c:v>CIGNA </c:v>
                </c:pt>
                <c:pt idx="8">
                  <c:v>GEHA </c:v>
                </c:pt>
                <c:pt idx="9">
                  <c:v>HUMANA</c:v>
                </c:pt>
                <c:pt idx="10">
                  <c:v>HUMANA </c:v>
                </c:pt>
                <c:pt idx="11">
                  <c:v>HUMANA  </c:v>
                </c:pt>
                <c:pt idx="12">
                  <c:v>MEDICARE </c:v>
                </c:pt>
                <c:pt idx="13">
                  <c:v>TRILLIUM </c:v>
                </c:pt>
                <c:pt idx="14">
                  <c:v>UHC </c:v>
                </c:pt>
                <c:pt idx="15">
                  <c:v>UHC SLEEP MED</c:v>
                </c:pt>
                <c:pt idx="16">
                  <c:v>UMR </c:v>
                </c:pt>
                <c:pt idx="17">
                  <c:v>WELLCARE </c:v>
                </c:pt>
                <c:pt idx="18">
                  <c:v>(blank)</c:v>
                </c:pt>
              </c:strCache>
            </c:strRef>
          </c:cat>
          <c:val>
            <c:numRef>
              <c:f>'3'!$C$5:$C$24</c:f>
              <c:numCache>
                <c:formatCode>General</c:formatCode>
                <c:ptCount val="19"/>
                <c:pt idx="14">
                  <c:v>1</c:v>
                </c:pt>
              </c:numCache>
            </c:numRef>
          </c:val>
          <c:extLst>
            <c:ext xmlns:c16="http://schemas.microsoft.com/office/drawing/2014/chart" uri="{C3380CC4-5D6E-409C-BE32-E72D297353CC}">
              <c16:uniqueId val="{00000013-401F-4A04-A157-BE5BC53CCCFF}"/>
            </c:ext>
          </c:extLst>
        </c:ser>
        <c:ser>
          <c:idx val="2"/>
          <c:order val="2"/>
          <c:tx>
            <c:strRef>
              <c:f>'3'!$D$3:$D$4</c:f>
              <c:strCache>
                <c:ptCount val="1"/>
                <c:pt idx="0">
                  <c:v>UNC CRANIOFACIAL CENTE</c:v>
                </c:pt>
              </c:strCache>
            </c:strRef>
          </c:tx>
          <c:spPr>
            <a:solidFill>
              <a:schemeClr val="accent3"/>
            </a:solidFill>
            <a:ln>
              <a:noFill/>
            </a:ln>
            <a:effectLst/>
            <a:sp3d/>
          </c:spPr>
          <c:invertIfNegative val="0"/>
          <c:cat>
            <c:strRef>
              <c:f>'3'!$A$5:$A$24</c:f>
              <c:strCache>
                <c:ptCount val="19"/>
                <c:pt idx="0">
                  <c:v>AARP </c:v>
                </c:pt>
                <c:pt idx="1">
                  <c:v>AETNA </c:v>
                </c:pt>
                <c:pt idx="2">
                  <c:v>AETNA SLEEP MED</c:v>
                </c:pt>
                <c:pt idx="3">
                  <c:v>BCBS</c:v>
                </c:pt>
                <c:pt idx="4">
                  <c:v>BCBS </c:v>
                </c:pt>
                <c:pt idx="5">
                  <c:v>BCBS SLEEP MED</c:v>
                </c:pt>
                <c:pt idx="6">
                  <c:v>CCH </c:v>
                </c:pt>
                <c:pt idx="7">
                  <c:v>CIGNA </c:v>
                </c:pt>
                <c:pt idx="8">
                  <c:v>GEHA </c:v>
                </c:pt>
                <c:pt idx="9">
                  <c:v>HUMANA</c:v>
                </c:pt>
                <c:pt idx="10">
                  <c:v>HUMANA </c:v>
                </c:pt>
                <c:pt idx="11">
                  <c:v>HUMANA  </c:v>
                </c:pt>
                <c:pt idx="12">
                  <c:v>MEDICARE </c:v>
                </c:pt>
                <c:pt idx="13">
                  <c:v>TRILLIUM </c:v>
                </c:pt>
                <c:pt idx="14">
                  <c:v>UHC </c:v>
                </c:pt>
                <c:pt idx="15">
                  <c:v>UHC SLEEP MED</c:v>
                </c:pt>
                <c:pt idx="16">
                  <c:v>UMR </c:v>
                </c:pt>
                <c:pt idx="17">
                  <c:v>WELLCARE </c:v>
                </c:pt>
                <c:pt idx="18">
                  <c:v>(blank)</c:v>
                </c:pt>
              </c:strCache>
            </c:strRef>
          </c:cat>
          <c:val>
            <c:numRef>
              <c:f>'3'!$D$5:$D$24</c:f>
              <c:numCache>
                <c:formatCode>General</c:formatCode>
                <c:ptCount val="19"/>
                <c:pt idx="3">
                  <c:v>3</c:v>
                </c:pt>
                <c:pt idx="4">
                  <c:v>4</c:v>
                </c:pt>
                <c:pt idx="6">
                  <c:v>1</c:v>
                </c:pt>
                <c:pt idx="14">
                  <c:v>2</c:v>
                </c:pt>
                <c:pt idx="16">
                  <c:v>1</c:v>
                </c:pt>
              </c:numCache>
            </c:numRef>
          </c:val>
          <c:extLst>
            <c:ext xmlns:c16="http://schemas.microsoft.com/office/drawing/2014/chart" uri="{C3380CC4-5D6E-409C-BE32-E72D297353CC}">
              <c16:uniqueId val="{00000014-401F-4A04-A157-BE5BC53CCCFF}"/>
            </c:ext>
          </c:extLst>
        </c:ser>
        <c:ser>
          <c:idx val="3"/>
          <c:order val="3"/>
          <c:tx>
            <c:strRef>
              <c:f>'3'!$E$3:$E$4</c:f>
              <c:strCache>
                <c:ptCount val="1"/>
                <c:pt idx="0">
                  <c:v>UNC ORAL &amp; MAXILL</c:v>
                </c:pt>
              </c:strCache>
            </c:strRef>
          </c:tx>
          <c:spPr>
            <a:solidFill>
              <a:schemeClr val="accent4"/>
            </a:solidFill>
            <a:ln>
              <a:noFill/>
            </a:ln>
            <a:effectLst/>
            <a:sp3d/>
          </c:spPr>
          <c:invertIfNegative val="0"/>
          <c:cat>
            <c:strRef>
              <c:f>'3'!$A$5:$A$24</c:f>
              <c:strCache>
                <c:ptCount val="19"/>
                <c:pt idx="0">
                  <c:v>AARP </c:v>
                </c:pt>
                <c:pt idx="1">
                  <c:v>AETNA </c:v>
                </c:pt>
                <c:pt idx="2">
                  <c:v>AETNA SLEEP MED</c:v>
                </c:pt>
                <c:pt idx="3">
                  <c:v>BCBS</c:v>
                </c:pt>
                <c:pt idx="4">
                  <c:v>BCBS </c:v>
                </c:pt>
                <c:pt idx="5">
                  <c:v>BCBS SLEEP MED</c:v>
                </c:pt>
                <c:pt idx="6">
                  <c:v>CCH </c:v>
                </c:pt>
                <c:pt idx="7">
                  <c:v>CIGNA </c:v>
                </c:pt>
                <c:pt idx="8">
                  <c:v>GEHA </c:v>
                </c:pt>
                <c:pt idx="9">
                  <c:v>HUMANA</c:v>
                </c:pt>
                <c:pt idx="10">
                  <c:v>HUMANA </c:v>
                </c:pt>
                <c:pt idx="11">
                  <c:v>HUMANA  </c:v>
                </c:pt>
                <c:pt idx="12">
                  <c:v>MEDICARE </c:v>
                </c:pt>
                <c:pt idx="13">
                  <c:v>TRILLIUM </c:v>
                </c:pt>
                <c:pt idx="14">
                  <c:v>UHC </c:v>
                </c:pt>
                <c:pt idx="15">
                  <c:v>UHC SLEEP MED</c:v>
                </c:pt>
                <c:pt idx="16">
                  <c:v>UMR </c:v>
                </c:pt>
                <c:pt idx="17">
                  <c:v>WELLCARE </c:v>
                </c:pt>
                <c:pt idx="18">
                  <c:v>(blank)</c:v>
                </c:pt>
              </c:strCache>
            </c:strRef>
          </c:cat>
          <c:val>
            <c:numRef>
              <c:f>'3'!$E$5:$E$24</c:f>
              <c:numCache>
                <c:formatCode>General</c:formatCode>
                <c:ptCount val="19"/>
                <c:pt idx="3">
                  <c:v>4</c:v>
                </c:pt>
                <c:pt idx="4">
                  <c:v>8</c:v>
                </c:pt>
                <c:pt idx="6">
                  <c:v>3</c:v>
                </c:pt>
                <c:pt idx="12">
                  <c:v>4</c:v>
                </c:pt>
                <c:pt idx="13">
                  <c:v>2</c:v>
                </c:pt>
                <c:pt idx="17">
                  <c:v>1</c:v>
                </c:pt>
              </c:numCache>
            </c:numRef>
          </c:val>
          <c:extLst>
            <c:ext xmlns:c16="http://schemas.microsoft.com/office/drawing/2014/chart" uri="{C3380CC4-5D6E-409C-BE32-E72D297353CC}">
              <c16:uniqueId val="{00000015-401F-4A04-A157-BE5BC53CCCFF}"/>
            </c:ext>
          </c:extLst>
        </c:ser>
        <c:ser>
          <c:idx val="4"/>
          <c:order val="4"/>
          <c:tx>
            <c:strRef>
              <c:f>'3'!$F$3:$F$4</c:f>
              <c:strCache>
                <c:ptCount val="1"/>
                <c:pt idx="0">
                  <c:v>UNC ORAL &amp; MAXILL PATH</c:v>
                </c:pt>
              </c:strCache>
            </c:strRef>
          </c:tx>
          <c:spPr>
            <a:solidFill>
              <a:schemeClr val="accent5"/>
            </a:solidFill>
            <a:ln>
              <a:noFill/>
            </a:ln>
            <a:effectLst/>
            <a:sp3d/>
          </c:spPr>
          <c:invertIfNegative val="0"/>
          <c:cat>
            <c:strRef>
              <c:f>'3'!$A$5:$A$24</c:f>
              <c:strCache>
                <c:ptCount val="19"/>
                <c:pt idx="0">
                  <c:v>AARP </c:v>
                </c:pt>
                <c:pt idx="1">
                  <c:v>AETNA </c:v>
                </c:pt>
                <c:pt idx="2">
                  <c:v>AETNA SLEEP MED</c:v>
                </c:pt>
                <c:pt idx="3">
                  <c:v>BCBS</c:v>
                </c:pt>
                <c:pt idx="4">
                  <c:v>BCBS </c:v>
                </c:pt>
                <c:pt idx="5">
                  <c:v>BCBS SLEEP MED</c:v>
                </c:pt>
                <c:pt idx="6">
                  <c:v>CCH </c:v>
                </c:pt>
                <c:pt idx="7">
                  <c:v>CIGNA </c:v>
                </c:pt>
                <c:pt idx="8">
                  <c:v>GEHA </c:v>
                </c:pt>
                <c:pt idx="9">
                  <c:v>HUMANA</c:v>
                </c:pt>
                <c:pt idx="10">
                  <c:v>HUMANA </c:v>
                </c:pt>
                <c:pt idx="11">
                  <c:v>HUMANA  </c:v>
                </c:pt>
                <c:pt idx="12">
                  <c:v>MEDICARE </c:v>
                </c:pt>
                <c:pt idx="13">
                  <c:v>TRILLIUM </c:v>
                </c:pt>
                <c:pt idx="14">
                  <c:v>UHC </c:v>
                </c:pt>
                <c:pt idx="15">
                  <c:v>UHC SLEEP MED</c:v>
                </c:pt>
                <c:pt idx="16">
                  <c:v>UMR </c:v>
                </c:pt>
                <c:pt idx="17">
                  <c:v>WELLCARE </c:v>
                </c:pt>
                <c:pt idx="18">
                  <c:v>(blank)</c:v>
                </c:pt>
              </c:strCache>
            </c:strRef>
          </c:cat>
          <c:val>
            <c:numRef>
              <c:f>'3'!$F$5:$F$24</c:f>
              <c:numCache>
                <c:formatCode>General</c:formatCode>
                <c:ptCount val="19"/>
                <c:pt idx="1">
                  <c:v>5</c:v>
                </c:pt>
                <c:pt idx="6">
                  <c:v>2</c:v>
                </c:pt>
                <c:pt idx="7">
                  <c:v>4</c:v>
                </c:pt>
                <c:pt idx="13">
                  <c:v>1</c:v>
                </c:pt>
                <c:pt idx="14">
                  <c:v>7</c:v>
                </c:pt>
                <c:pt idx="16">
                  <c:v>3</c:v>
                </c:pt>
                <c:pt idx="17">
                  <c:v>1</c:v>
                </c:pt>
              </c:numCache>
            </c:numRef>
          </c:val>
          <c:extLst>
            <c:ext xmlns:c16="http://schemas.microsoft.com/office/drawing/2014/chart" uri="{C3380CC4-5D6E-409C-BE32-E72D297353CC}">
              <c16:uniqueId val="{00000016-401F-4A04-A157-BE5BC53CCCFF}"/>
            </c:ext>
          </c:extLst>
        </c:ser>
        <c:ser>
          <c:idx val="5"/>
          <c:order val="5"/>
          <c:tx>
            <c:strRef>
              <c:f>'3'!$G$3:$G$4</c:f>
              <c:strCache>
                <c:ptCount val="1"/>
                <c:pt idx="0">
                  <c:v>(blank)</c:v>
                </c:pt>
              </c:strCache>
            </c:strRef>
          </c:tx>
          <c:spPr>
            <a:solidFill>
              <a:schemeClr val="accent6"/>
            </a:solidFill>
            <a:ln>
              <a:noFill/>
            </a:ln>
            <a:effectLst/>
            <a:sp3d/>
          </c:spPr>
          <c:invertIfNegative val="0"/>
          <c:cat>
            <c:strRef>
              <c:f>'3'!$A$5:$A$24</c:f>
              <c:strCache>
                <c:ptCount val="19"/>
                <c:pt idx="0">
                  <c:v>AARP </c:v>
                </c:pt>
                <c:pt idx="1">
                  <c:v>AETNA </c:v>
                </c:pt>
                <c:pt idx="2">
                  <c:v>AETNA SLEEP MED</c:v>
                </c:pt>
                <c:pt idx="3">
                  <c:v>BCBS</c:v>
                </c:pt>
                <c:pt idx="4">
                  <c:v>BCBS </c:v>
                </c:pt>
                <c:pt idx="5">
                  <c:v>BCBS SLEEP MED</c:v>
                </c:pt>
                <c:pt idx="6">
                  <c:v>CCH </c:v>
                </c:pt>
                <c:pt idx="7">
                  <c:v>CIGNA </c:v>
                </c:pt>
                <c:pt idx="8">
                  <c:v>GEHA </c:v>
                </c:pt>
                <c:pt idx="9">
                  <c:v>HUMANA</c:v>
                </c:pt>
                <c:pt idx="10">
                  <c:v>HUMANA </c:v>
                </c:pt>
                <c:pt idx="11">
                  <c:v>HUMANA  </c:v>
                </c:pt>
                <c:pt idx="12">
                  <c:v>MEDICARE </c:v>
                </c:pt>
                <c:pt idx="13">
                  <c:v>TRILLIUM </c:v>
                </c:pt>
                <c:pt idx="14">
                  <c:v>UHC </c:v>
                </c:pt>
                <c:pt idx="15">
                  <c:v>UHC SLEEP MED</c:v>
                </c:pt>
                <c:pt idx="16">
                  <c:v>UMR </c:v>
                </c:pt>
                <c:pt idx="17">
                  <c:v>WELLCARE </c:v>
                </c:pt>
                <c:pt idx="18">
                  <c:v>(blank)</c:v>
                </c:pt>
              </c:strCache>
            </c:strRef>
          </c:cat>
          <c:val>
            <c:numRef>
              <c:f>'3'!$G$5:$G$24</c:f>
              <c:numCache>
                <c:formatCode>General</c:formatCode>
                <c:ptCount val="19"/>
              </c:numCache>
            </c:numRef>
          </c:val>
          <c:extLst>
            <c:ext xmlns:c16="http://schemas.microsoft.com/office/drawing/2014/chart" uri="{C3380CC4-5D6E-409C-BE32-E72D297353CC}">
              <c16:uniqueId val="{00000000-C6AF-4183-BFB8-35CF6DEAA4B2}"/>
            </c:ext>
          </c:extLst>
        </c:ser>
        <c:dLbls>
          <c:showLegendKey val="0"/>
          <c:showVal val="0"/>
          <c:showCatName val="0"/>
          <c:showSerName val="0"/>
          <c:showPercent val="0"/>
          <c:showBubbleSize val="0"/>
        </c:dLbls>
        <c:gapWidth val="150"/>
        <c:shape val="box"/>
        <c:axId val="505765903"/>
        <c:axId val="505762063"/>
        <c:axId val="0"/>
      </c:bar3DChart>
      <c:catAx>
        <c:axId val="5057659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762063"/>
        <c:crosses val="autoZero"/>
        <c:auto val="1"/>
        <c:lblAlgn val="ctr"/>
        <c:lblOffset val="100"/>
        <c:noMultiLvlLbl val="0"/>
      </c:catAx>
      <c:valAx>
        <c:axId val="505762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765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[EFT Sample Dashboard.xlsx]4!PivotTable10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Auto</a:t>
            </a:r>
            <a:r>
              <a:rPr lang="en-US" baseline="0"/>
              <a:t> vs Manual EFT Payments by Payer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5772112860892389"/>
          <c:y val="0.17532188684747738"/>
          <c:w val="0.35757961504811897"/>
          <c:h val="0.62968613298337706"/>
        </c:manualLayout>
      </c:layout>
      <c:bar3DChart>
        <c:barDir val="bar"/>
        <c:grouping val="clustered"/>
        <c:varyColors val="0"/>
        <c:ser>
          <c:idx val="0"/>
          <c:order val="0"/>
          <c:tx>
            <c:strRef>
              <c:f>'4'!$B$3:$B$4</c:f>
              <c:strCache>
                <c:ptCount val="1"/>
                <c:pt idx="0">
                  <c:v>Auto</c:v>
                </c:pt>
              </c:strCache>
            </c:strRef>
          </c:tx>
          <c:spPr>
            <a:solidFill>
              <a:schemeClr val="accent1"/>
            </a:solidFill>
            <a:ln>
              <a:noFill/>
            </a:ln>
            <a:effectLst/>
            <a:sp3d/>
          </c:spPr>
          <c:invertIfNegative val="0"/>
          <c:cat>
            <c:strRef>
              <c:f>'4'!$A$5:$A$11</c:f>
              <c:strCache>
                <c:ptCount val="6"/>
                <c:pt idx="0">
                  <c:v>DENTAL FACULTY PRACTIC</c:v>
                </c:pt>
                <c:pt idx="1">
                  <c:v>SOD OS</c:v>
                </c:pt>
                <c:pt idx="2">
                  <c:v>UNC CRANIOFACIAL CENTE</c:v>
                </c:pt>
                <c:pt idx="3">
                  <c:v>UNC ORAL &amp; MAXILL</c:v>
                </c:pt>
                <c:pt idx="4">
                  <c:v>UNC ORAL &amp; MAXILL PATH</c:v>
                </c:pt>
                <c:pt idx="5">
                  <c:v>(blank)</c:v>
                </c:pt>
              </c:strCache>
            </c:strRef>
          </c:cat>
          <c:val>
            <c:numRef>
              <c:f>'4'!$B$5:$B$11</c:f>
              <c:numCache>
                <c:formatCode>General</c:formatCode>
                <c:ptCount val="6"/>
                <c:pt idx="0">
                  <c:v>50</c:v>
                </c:pt>
                <c:pt idx="2">
                  <c:v>7</c:v>
                </c:pt>
                <c:pt idx="3">
                  <c:v>16</c:v>
                </c:pt>
                <c:pt idx="4">
                  <c:v>23</c:v>
                </c:pt>
              </c:numCache>
            </c:numRef>
          </c:val>
          <c:extLst>
            <c:ext xmlns:c16="http://schemas.microsoft.com/office/drawing/2014/chart" uri="{C3380CC4-5D6E-409C-BE32-E72D297353CC}">
              <c16:uniqueId val="{00000002-E28D-4C93-B8B1-A67506320CD0}"/>
            </c:ext>
          </c:extLst>
        </c:ser>
        <c:ser>
          <c:idx val="1"/>
          <c:order val="1"/>
          <c:tx>
            <c:strRef>
              <c:f>'4'!$C$3:$C$4</c:f>
              <c:strCache>
                <c:ptCount val="1"/>
                <c:pt idx="0">
                  <c:v>Manual </c:v>
                </c:pt>
              </c:strCache>
            </c:strRef>
          </c:tx>
          <c:spPr>
            <a:solidFill>
              <a:schemeClr val="accent2"/>
            </a:solidFill>
            <a:ln>
              <a:noFill/>
            </a:ln>
            <a:effectLst/>
            <a:sp3d/>
          </c:spPr>
          <c:invertIfNegative val="0"/>
          <c:cat>
            <c:strRef>
              <c:f>'4'!$A$5:$A$11</c:f>
              <c:strCache>
                <c:ptCount val="6"/>
                <c:pt idx="0">
                  <c:v>DENTAL FACULTY PRACTIC</c:v>
                </c:pt>
                <c:pt idx="1">
                  <c:v>SOD OS</c:v>
                </c:pt>
                <c:pt idx="2">
                  <c:v>UNC CRANIOFACIAL CENTE</c:v>
                </c:pt>
                <c:pt idx="3">
                  <c:v>UNC ORAL &amp; MAXILL</c:v>
                </c:pt>
                <c:pt idx="4">
                  <c:v>UNC ORAL &amp; MAXILL PATH</c:v>
                </c:pt>
                <c:pt idx="5">
                  <c:v>(blank)</c:v>
                </c:pt>
              </c:strCache>
            </c:strRef>
          </c:cat>
          <c:val>
            <c:numRef>
              <c:f>'4'!$C$5:$C$11</c:f>
              <c:numCache>
                <c:formatCode>General</c:formatCode>
                <c:ptCount val="6"/>
                <c:pt idx="0">
                  <c:v>14</c:v>
                </c:pt>
                <c:pt idx="1">
                  <c:v>1</c:v>
                </c:pt>
                <c:pt idx="2">
                  <c:v>4</c:v>
                </c:pt>
                <c:pt idx="3">
                  <c:v>6</c:v>
                </c:pt>
              </c:numCache>
            </c:numRef>
          </c:val>
          <c:extLst>
            <c:ext xmlns:c16="http://schemas.microsoft.com/office/drawing/2014/chart" uri="{C3380CC4-5D6E-409C-BE32-E72D297353CC}">
              <c16:uniqueId val="{00000004-E28D-4C93-B8B1-A67506320CD0}"/>
            </c:ext>
          </c:extLst>
        </c:ser>
        <c:ser>
          <c:idx val="2"/>
          <c:order val="2"/>
          <c:tx>
            <c:strRef>
              <c:f>'4'!$D$3:$D$4</c:f>
              <c:strCache>
                <c:ptCount val="1"/>
                <c:pt idx="0">
                  <c:v>(blank)</c:v>
                </c:pt>
              </c:strCache>
            </c:strRef>
          </c:tx>
          <c:spPr>
            <a:solidFill>
              <a:schemeClr val="accent3"/>
            </a:solidFill>
            <a:ln>
              <a:noFill/>
            </a:ln>
            <a:effectLst/>
            <a:sp3d/>
          </c:spPr>
          <c:invertIfNegative val="0"/>
          <c:cat>
            <c:strRef>
              <c:f>'4'!$A$5:$A$11</c:f>
              <c:strCache>
                <c:ptCount val="6"/>
                <c:pt idx="0">
                  <c:v>DENTAL FACULTY PRACTIC</c:v>
                </c:pt>
                <c:pt idx="1">
                  <c:v>SOD OS</c:v>
                </c:pt>
                <c:pt idx="2">
                  <c:v>UNC CRANIOFACIAL CENTE</c:v>
                </c:pt>
                <c:pt idx="3">
                  <c:v>UNC ORAL &amp; MAXILL</c:v>
                </c:pt>
                <c:pt idx="4">
                  <c:v>UNC ORAL &amp; MAXILL PATH</c:v>
                </c:pt>
                <c:pt idx="5">
                  <c:v>(blank)</c:v>
                </c:pt>
              </c:strCache>
            </c:strRef>
          </c:cat>
          <c:val>
            <c:numRef>
              <c:f>'4'!$D$5:$D$11</c:f>
              <c:numCache>
                <c:formatCode>General</c:formatCode>
                <c:ptCount val="6"/>
              </c:numCache>
            </c:numRef>
          </c:val>
          <c:extLst>
            <c:ext xmlns:c16="http://schemas.microsoft.com/office/drawing/2014/chart" uri="{C3380CC4-5D6E-409C-BE32-E72D297353CC}">
              <c16:uniqueId val="{00000000-8223-4CFB-AC03-D6185E5E62AC}"/>
            </c:ext>
          </c:extLst>
        </c:ser>
        <c:dLbls>
          <c:showLegendKey val="0"/>
          <c:showVal val="0"/>
          <c:showCatName val="0"/>
          <c:showSerName val="0"/>
          <c:showPercent val="0"/>
          <c:showBubbleSize val="0"/>
        </c:dLbls>
        <c:gapWidth val="150"/>
        <c:shape val="box"/>
        <c:axId val="710697167"/>
        <c:axId val="710698127"/>
        <c:axId val="0"/>
      </c:bar3DChart>
      <c:catAx>
        <c:axId val="7106971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698127"/>
        <c:crosses val="autoZero"/>
        <c:auto val="1"/>
        <c:lblAlgn val="ctr"/>
        <c:lblOffset val="100"/>
        <c:noMultiLvlLbl val="0"/>
      </c:catAx>
      <c:valAx>
        <c:axId val="7106981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697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[EFT Sample Dashboard.xlsx]5!PivotTable1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'5'!$B$3</c:f>
              <c:strCache>
                <c:ptCount val="1"/>
                <c:pt idx="0">
                  <c:v>Total</c:v>
                </c:pt>
              </c:strCache>
            </c:strRef>
          </c:tx>
          <c:spPr>
            <a:solidFill>
              <a:schemeClr val="accent1"/>
            </a:solidFill>
            <a:ln>
              <a:noFill/>
            </a:ln>
            <a:effectLst/>
            <a:sp3d/>
          </c:spPr>
          <c:invertIfNegative val="0"/>
          <c:cat>
            <c:strRef>
              <c:f>'5'!$A$4:$A$23</c:f>
              <c:strCache>
                <c:ptCount val="19"/>
                <c:pt idx="0">
                  <c:v>AARP </c:v>
                </c:pt>
                <c:pt idx="1">
                  <c:v>AETNA </c:v>
                </c:pt>
                <c:pt idx="2">
                  <c:v>AETNA SLEEP MED</c:v>
                </c:pt>
                <c:pt idx="3">
                  <c:v>BCBS</c:v>
                </c:pt>
                <c:pt idx="4">
                  <c:v>BCBS </c:v>
                </c:pt>
                <c:pt idx="5">
                  <c:v>BCBS SLEEP MED</c:v>
                </c:pt>
                <c:pt idx="6">
                  <c:v>CCH </c:v>
                </c:pt>
                <c:pt idx="7">
                  <c:v>CIGNA </c:v>
                </c:pt>
                <c:pt idx="8">
                  <c:v>GEHA </c:v>
                </c:pt>
                <c:pt idx="9">
                  <c:v>HUMANA</c:v>
                </c:pt>
                <c:pt idx="10">
                  <c:v>HUMANA </c:v>
                </c:pt>
                <c:pt idx="11">
                  <c:v>HUMANA  </c:v>
                </c:pt>
                <c:pt idx="12">
                  <c:v>MEDICARE </c:v>
                </c:pt>
                <c:pt idx="13">
                  <c:v>TRILLIUM </c:v>
                </c:pt>
                <c:pt idx="14">
                  <c:v>UHC </c:v>
                </c:pt>
                <c:pt idx="15">
                  <c:v>UHC SLEEP MED</c:v>
                </c:pt>
                <c:pt idx="16">
                  <c:v>UMR </c:v>
                </c:pt>
                <c:pt idx="17">
                  <c:v>WELLCARE </c:v>
                </c:pt>
                <c:pt idx="18">
                  <c:v>(blank)</c:v>
                </c:pt>
              </c:strCache>
            </c:strRef>
          </c:cat>
          <c:val>
            <c:numRef>
              <c:f>'5'!$B$4:$B$23</c:f>
              <c:numCache>
                <c:formatCode>General</c:formatCode>
                <c:ptCount val="19"/>
                <c:pt idx="0">
                  <c:v>8728</c:v>
                </c:pt>
                <c:pt idx="1">
                  <c:v>145427</c:v>
                </c:pt>
                <c:pt idx="2">
                  <c:v>11570</c:v>
                </c:pt>
                <c:pt idx="3">
                  <c:v>135150</c:v>
                </c:pt>
                <c:pt idx="4">
                  <c:v>352582</c:v>
                </c:pt>
                <c:pt idx="5">
                  <c:v>44840</c:v>
                </c:pt>
                <c:pt idx="6">
                  <c:v>115592</c:v>
                </c:pt>
                <c:pt idx="7">
                  <c:v>77189</c:v>
                </c:pt>
                <c:pt idx="8">
                  <c:v>14620</c:v>
                </c:pt>
                <c:pt idx="9">
                  <c:v>20388</c:v>
                </c:pt>
                <c:pt idx="10">
                  <c:v>70799</c:v>
                </c:pt>
                <c:pt idx="11">
                  <c:v>9783</c:v>
                </c:pt>
                <c:pt idx="12">
                  <c:v>128599</c:v>
                </c:pt>
                <c:pt idx="13">
                  <c:v>48099</c:v>
                </c:pt>
                <c:pt idx="14">
                  <c:v>274913</c:v>
                </c:pt>
                <c:pt idx="15">
                  <c:v>20379</c:v>
                </c:pt>
                <c:pt idx="16">
                  <c:v>46826</c:v>
                </c:pt>
                <c:pt idx="17">
                  <c:v>44598</c:v>
                </c:pt>
              </c:numCache>
            </c:numRef>
          </c:val>
          <c:extLst>
            <c:ext xmlns:c16="http://schemas.microsoft.com/office/drawing/2014/chart" uri="{C3380CC4-5D6E-409C-BE32-E72D297353CC}">
              <c16:uniqueId val="{00000000-0399-4223-B037-9127CC085132}"/>
            </c:ext>
          </c:extLst>
        </c:ser>
        <c:dLbls>
          <c:showLegendKey val="0"/>
          <c:showVal val="0"/>
          <c:showCatName val="0"/>
          <c:showSerName val="0"/>
          <c:showPercent val="0"/>
          <c:showBubbleSize val="0"/>
        </c:dLbls>
        <c:gapWidth val="150"/>
        <c:shape val="box"/>
        <c:axId val="1093962319"/>
        <c:axId val="1093957999"/>
        <c:axId val="0"/>
      </c:bar3DChart>
      <c:catAx>
        <c:axId val="10939623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957999"/>
        <c:crosses val="autoZero"/>
        <c:auto val="1"/>
        <c:lblAlgn val="ctr"/>
        <c:lblOffset val="100"/>
        <c:noMultiLvlLbl val="0"/>
      </c:catAx>
      <c:valAx>
        <c:axId val="1093957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962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5</xdr:col>
      <xdr:colOff>495300</xdr:colOff>
      <xdr:row>20</xdr:row>
      <xdr:rowOff>152399</xdr:rowOff>
    </xdr:from>
    <xdr:to>
      <xdr:col>24</xdr:col>
      <xdr:colOff>57150</xdr:colOff>
      <xdr:row>44</xdr:row>
      <xdr:rowOff>180974</xdr:rowOff>
    </xdr:to>
    <xdr:graphicFrame macro="">
      <xdr:nvGraphicFramePr>
        <xdr:cNvPr id="4" name="Chart 3">
          <a:extLst>
            <a:ext uri="{FF2B5EF4-FFF2-40B4-BE49-F238E27FC236}">
              <a16:creationId xmlns:a16="http://schemas.microsoft.com/office/drawing/2014/main" id="{DE826BCE-87FF-4DA1-A704-F87DEB717A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12</xdr:col>
      <xdr:colOff>590549</xdr:colOff>
      <xdr:row>20</xdr:row>
      <xdr:rowOff>142875</xdr:rowOff>
    </xdr:to>
    <xdr:graphicFrame macro="">
      <xdr:nvGraphicFramePr>
        <xdr:cNvPr id="5" name="Chart 4">
          <a:extLst>
            <a:ext uri="{FF2B5EF4-FFF2-40B4-BE49-F238E27FC236}">
              <a16:creationId xmlns:a16="http://schemas.microsoft.com/office/drawing/2014/main" id="{4F9848A0-6340-4EE1-A1EC-F6C8A4CAFD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21</xdr:col>
      <xdr:colOff>428626</xdr:colOff>
      <xdr:row>32</xdr:row>
      <xdr:rowOff>0</xdr:rowOff>
    </xdr:from>
    <xdr:to>
      <xdr:col>23</xdr:col>
      <xdr:colOff>495300</xdr:colOff>
      <xdr:row>39</xdr:row>
      <xdr:rowOff>47624</xdr:rowOff>
    </xdr:to>
    <mc:AlternateContent xmlns:mc="http://schemas.openxmlformats.org/markup-compatibility/2006" xmlns:a14="http://schemas.microsoft.com/office/drawing/2010/main">
      <mc:Choice Requires="a14">
        <xdr:graphicFrame macro="">
          <xdr:nvGraphicFramePr>
            <xdr:cNvPr id="7" name="Department">
              <a:extLst>
                <a:ext uri="{FF2B5EF4-FFF2-40B4-BE49-F238E27FC236}">
                  <a16:creationId xmlns:a16="http://schemas.microsoft.com/office/drawing/2014/main" id="{3AD86AF1-072B-3103-9662-645F90C7342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3180220" y="6096000"/>
              <a:ext cx="1281111" cy="13811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447673</xdr:colOff>
      <xdr:row>23</xdr:row>
      <xdr:rowOff>95250</xdr:rowOff>
    </xdr:from>
    <xdr:to>
      <xdr:col>23</xdr:col>
      <xdr:colOff>504824</xdr:colOff>
      <xdr:row>30</xdr:row>
      <xdr:rowOff>190498</xdr:rowOff>
    </xdr:to>
    <mc:AlternateContent xmlns:mc="http://schemas.openxmlformats.org/markup-compatibility/2006" xmlns:a14="http://schemas.microsoft.com/office/drawing/2010/main">
      <mc:Choice Requires="a14">
        <xdr:graphicFrame macro="">
          <xdr:nvGraphicFramePr>
            <xdr:cNvPr id="8" name="Payer">
              <a:extLst>
                <a:ext uri="{FF2B5EF4-FFF2-40B4-BE49-F238E27FC236}">
                  <a16:creationId xmlns:a16="http://schemas.microsoft.com/office/drawing/2014/main" id="{5802EC1E-F981-4464-AD0F-60A90639BAA8}"/>
                </a:ext>
              </a:extLst>
            </xdr:cNvPr>
            <xdr:cNvGraphicFramePr/>
          </xdr:nvGraphicFramePr>
          <xdr:xfrm>
            <a:off x="0" y="0"/>
            <a:ext cx="0" cy="0"/>
          </xdr:xfrm>
          <a:graphic>
            <a:graphicData uri="http://schemas.microsoft.com/office/drawing/2010/slicer">
              <sle:slicer xmlns:sle="http://schemas.microsoft.com/office/drawing/2010/slicer" name="Payer"/>
            </a:graphicData>
          </a:graphic>
        </xdr:graphicFrame>
      </mc:Choice>
      <mc:Fallback xmlns="">
        <xdr:sp macro="" textlink="">
          <xdr:nvSpPr>
            <xdr:cNvPr id="0" name=""/>
            <xdr:cNvSpPr>
              <a:spLocks noTextEdit="1"/>
            </xdr:cNvSpPr>
          </xdr:nvSpPr>
          <xdr:spPr>
            <a:xfrm>
              <a:off x="13199267" y="4476750"/>
              <a:ext cx="1271588" cy="14287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590550</xdr:colOff>
      <xdr:row>0</xdr:row>
      <xdr:rowOff>0</xdr:rowOff>
    </xdr:from>
    <xdr:to>
      <xdr:col>29</xdr:col>
      <xdr:colOff>171450</xdr:colOff>
      <xdr:row>20</xdr:row>
      <xdr:rowOff>157163</xdr:rowOff>
    </xdr:to>
    <xdr:graphicFrame macro="">
      <xdr:nvGraphicFramePr>
        <xdr:cNvPr id="9" name="Chart 8">
          <a:extLst>
            <a:ext uri="{FF2B5EF4-FFF2-40B4-BE49-F238E27FC236}">
              <a16:creationId xmlns:a16="http://schemas.microsoft.com/office/drawing/2014/main" id="{60F1AF1D-A7F8-4BC1-A295-21AD890350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20</xdr:row>
      <xdr:rowOff>142875</xdr:rowOff>
    </xdr:from>
    <xdr:to>
      <xdr:col>5</xdr:col>
      <xdr:colOff>504825</xdr:colOff>
      <xdr:row>44</xdr:row>
      <xdr:rowOff>142875</xdr:rowOff>
    </xdr:to>
    <xdr:graphicFrame macro="">
      <xdr:nvGraphicFramePr>
        <xdr:cNvPr id="10" name="Chart 9">
          <a:extLst>
            <a:ext uri="{FF2B5EF4-FFF2-40B4-BE49-F238E27FC236}">
              <a16:creationId xmlns:a16="http://schemas.microsoft.com/office/drawing/2014/main" id="{9017DCBB-2AC9-4ACD-8EF9-7D328C8A94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66675</xdr:colOff>
      <xdr:row>20</xdr:row>
      <xdr:rowOff>161924</xdr:rowOff>
    </xdr:from>
    <xdr:to>
      <xdr:col>29</xdr:col>
      <xdr:colOff>180975</xdr:colOff>
      <xdr:row>44</xdr:row>
      <xdr:rowOff>171449</xdr:rowOff>
    </xdr:to>
    <xdr:graphicFrame macro="">
      <xdr:nvGraphicFramePr>
        <xdr:cNvPr id="2" name="Chart 1">
          <a:extLst>
            <a:ext uri="{FF2B5EF4-FFF2-40B4-BE49-F238E27FC236}">
              <a16:creationId xmlns:a16="http://schemas.microsoft.com/office/drawing/2014/main" id="{A9E5AA74-8F4B-42A3-A512-53A6134CEB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0.44217</cdr:x>
      <cdr:y>0.38434</cdr:y>
    </cdr:from>
    <cdr:to>
      <cdr:x>0.55783</cdr:x>
      <cdr:y>0.61566</cdr:y>
    </cdr:to>
    <cdr:sp macro="" textlink="">
      <cdr:nvSpPr>
        <cdr:cNvPr id="2" name="TextBox 1">
          <a:extLst xmlns:a="http://schemas.openxmlformats.org/drawingml/2006/main">
            <a:ext uri="{FF2B5EF4-FFF2-40B4-BE49-F238E27FC236}">
              <a16:creationId xmlns:a16="http://schemas.microsoft.com/office/drawing/2014/main" id="{7D5749BC-72F7-FC5D-BA63-4B07FFA184AD}"/>
            </a:ext>
          </a:extLst>
        </cdr:cNvPr>
        <cdr:cNvSpPr txBox="1"/>
      </cdr:nvSpPr>
      <cdr:spPr>
        <a:xfrm xmlns:a="http://schemas.openxmlformats.org/drawingml/2006/main">
          <a:off x="3495674" y="1519237"/>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userShapes>
</file>

<file path=xl/drawings/drawing3.xml><?xml version="1.0" encoding="utf-8"?>
<c:userShapes xmlns:c="http://schemas.openxmlformats.org/drawingml/2006/chart">
  <cdr:relSizeAnchor xmlns:cdr="http://schemas.openxmlformats.org/drawingml/2006/chartDrawing">
    <cdr:from>
      <cdr:x>0</cdr:x>
      <cdr:y>0.0024</cdr:y>
    </cdr:from>
    <cdr:to>
      <cdr:x>0.6341</cdr:x>
      <cdr:y>0.11044</cdr:y>
    </cdr:to>
    <cdr:sp macro="" textlink="">
      <cdr:nvSpPr>
        <cdr:cNvPr id="2" name="TextBox 1">
          <a:extLst xmlns:a="http://schemas.openxmlformats.org/drawingml/2006/main">
            <a:ext uri="{FF2B5EF4-FFF2-40B4-BE49-F238E27FC236}">
              <a16:creationId xmlns:a16="http://schemas.microsoft.com/office/drawing/2014/main" id="{30AF0E30-0D8E-8899-E786-892389B3AEC1}"/>
            </a:ext>
          </a:extLst>
        </cdr:cNvPr>
        <cdr:cNvSpPr txBox="1"/>
      </cdr:nvSpPr>
      <cdr:spPr>
        <a:xfrm xmlns:a="http://schemas.openxmlformats.org/drawingml/2006/main">
          <a:off x="0" y="9525"/>
          <a:ext cx="6305550" cy="428625"/>
        </a:xfrm>
        <a:prstGeom xmlns:a="http://schemas.openxmlformats.org/drawingml/2006/main" prst="rect">
          <a:avLst/>
        </a:prstGeom>
        <a:solidFill xmlns:a="http://schemas.openxmlformats.org/drawingml/2006/main">
          <a:sysClr val="window" lastClr="FFFFFF"/>
        </a:solidFill>
      </cdr:spPr>
      <cdr:txBody>
        <a:bodyPr xmlns:a="http://schemas.openxmlformats.org/drawingml/2006/main" vertOverflow="clip" wrap="square" rtlCol="0"/>
        <a:lstStyle xmlns:a="http://schemas.openxmlformats.org/drawingml/2006/main"/>
        <a:p xmlns:a="http://schemas.openxmlformats.org/drawingml/2006/main">
          <a:pPr algn="ctr"/>
          <a:r>
            <a:rPr lang="en-US" sz="2400" kern="1200">
              <a:solidFill>
                <a:schemeClr val="accent5"/>
              </a:solidFill>
            </a:rPr>
            <a:t>Dec</a:t>
          </a:r>
          <a:r>
            <a:rPr lang="en-US" sz="2400" kern="1200" baseline="0">
              <a:solidFill>
                <a:schemeClr val="accent5"/>
              </a:solidFill>
            </a:rPr>
            <a:t> </a:t>
          </a:r>
          <a:r>
            <a:rPr lang="en-US" sz="2400" kern="1200">
              <a:solidFill>
                <a:schemeClr val="accent5"/>
              </a:solidFill>
            </a:rPr>
            <a:t>19 - Dec</a:t>
          </a:r>
          <a:r>
            <a:rPr lang="en-US" sz="2400" kern="1200" baseline="0">
              <a:solidFill>
                <a:schemeClr val="accent5"/>
              </a:solidFill>
            </a:rPr>
            <a:t> </a:t>
          </a:r>
          <a:r>
            <a:rPr lang="en-US" sz="2400" kern="1200">
              <a:solidFill>
                <a:schemeClr val="accent5"/>
              </a:solidFill>
            </a:rPr>
            <a:t>31</a:t>
          </a:r>
          <a:r>
            <a:rPr lang="en-US" sz="2400" kern="1200" baseline="0">
              <a:solidFill>
                <a:schemeClr val="accent5"/>
              </a:solidFill>
            </a:rPr>
            <a:t> </a:t>
          </a:r>
          <a:r>
            <a:rPr lang="en-US" sz="2400" kern="1200">
              <a:solidFill>
                <a:schemeClr val="accent5"/>
              </a:solidFill>
            </a:rPr>
            <a:t>2025 EFT PAYMENT</a:t>
          </a:r>
          <a:r>
            <a:rPr lang="en-US" sz="2400" kern="1200" baseline="0">
              <a:solidFill>
                <a:schemeClr val="accent5"/>
              </a:solidFill>
            </a:rPr>
            <a:t> DASHBOARD</a:t>
          </a:r>
          <a:endParaRPr lang="en-US" sz="2400" kern="1200">
            <a:solidFill>
              <a:schemeClr val="accent5"/>
            </a:solidFill>
          </a:endParaRPr>
        </a:p>
      </cdr:txBody>
    </cdr:sp>
  </cdr:relSizeAnchor>
</c:userShapes>
</file>

<file path=xl/drawings/drawing4.xml><?xml version="1.0" encoding="utf-8"?>
<xdr:wsDr xmlns:xdr="http://schemas.openxmlformats.org/drawingml/2006/spreadsheetDrawing" xmlns:a="http://schemas.openxmlformats.org/drawingml/2006/main">
  <xdr:twoCellAnchor>
    <xdr:from>
      <xdr:col>5</xdr:col>
      <xdr:colOff>409575</xdr:colOff>
      <xdr:row>13</xdr:row>
      <xdr:rowOff>80962</xdr:rowOff>
    </xdr:from>
    <xdr:to>
      <xdr:col>13</xdr:col>
      <xdr:colOff>104775</xdr:colOff>
      <xdr:row>27</xdr:row>
      <xdr:rowOff>157162</xdr:rowOff>
    </xdr:to>
    <xdr:graphicFrame macro="">
      <xdr:nvGraphicFramePr>
        <xdr:cNvPr id="2" name="Chart 1">
          <a:extLst>
            <a:ext uri="{FF2B5EF4-FFF2-40B4-BE49-F238E27FC236}">
              <a16:creationId xmlns:a16="http://schemas.microsoft.com/office/drawing/2014/main" id="{31418C78-2655-7516-E0B1-70060AD246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590549</xdr:colOff>
      <xdr:row>2</xdr:row>
      <xdr:rowOff>142875</xdr:rowOff>
    </xdr:from>
    <xdr:to>
      <xdr:col>15</xdr:col>
      <xdr:colOff>180975</xdr:colOff>
      <xdr:row>19</xdr:row>
      <xdr:rowOff>80962</xdr:rowOff>
    </xdr:to>
    <xdr:graphicFrame macro="">
      <xdr:nvGraphicFramePr>
        <xdr:cNvPr id="3" name="Chart 2">
          <a:extLst>
            <a:ext uri="{FF2B5EF4-FFF2-40B4-BE49-F238E27FC236}">
              <a16:creationId xmlns:a16="http://schemas.microsoft.com/office/drawing/2014/main" id="{E7EA7705-4523-AB1C-D4E0-EE8671EE90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24</xdr:row>
      <xdr:rowOff>33337</xdr:rowOff>
    </xdr:from>
    <xdr:to>
      <xdr:col>8</xdr:col>
      <xdr:colOff>104778</xdr:colOff>
      <xdr:row>42</xdr:row>
      <xdr:rowOff>9525</xdr:rowOff>
    </xdr:to>
    <xdr:graphicFrame macro="">
      <xdr:nvGraphicFramePr>
        <xdr:cNvPr id="2" name="Chart 1">
          <a:extLst>
            <a:ext uri="{FF2B5EF4-FFF2-40B4-BE49-F238E27FC236}">
              <a16:creationId xmlns:a16="http://schemas.microsoft.com/office/drawing/2014/main" id="{D12632EC-943C-1F3F-CA2E-171681B48B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19050</xdr:colOff>
      <xdr:row>8</xdr:row>
      <xdr:rowOff>52386</xdr:rowOff>
    </xdr:from>
    <xdr:to>
      <xdr:col>14</xdr:col>
      <xdr:colOff>180975</xdr:colOff>
      <xdr:row>27</xdr:row>
      <xdr:rowOff>133349</xdr:rowOff>
    </xdr:to>
    <xdr:graphicFrame macro="">
      <xdr:nvGraphicFramePr>
        <xdr:cNvPr id="2" name="Chart 1">
          <a:extLst>
            <a:ext uri="{FF2B5EF4-FFF2-40B4-BE49-F238E27FC236}">
              <a16:creationId xmlns:a16="http://schemas.microsoft.com/office/drawing/2014/main" id="{7344038E-8D70-37C3-9586-A0ECBC8398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7</xdr:col>
      <xdr:colOff>128587</xdr:colOff>
      <xdr:row>13</xdr:row>
      <xdr:rowOff>147637</xdr:rowOff>
    </xdr:from>
    <xdr:to>
      <xdr:col>14</xdr:col>
      <xdr:colOff>433387</xdr:colOff>
      <xdr:row>28</xdr:row>
      <xdr:rowOff>33337</xdr:rowOff>
    </xdr:to>
    <xdr:graphicFrame macro="">
      <xdr:nvGraphicFramePr>
        <xdr:cNvPr id="2" name="Chart 1">
          <a:extLst>
            <a:ext uri="{FF2B5EF4-FFF2-40B4-BE49-F238E27FC236}">
              <a16:creationId xmlns:a16="http://schemas.microsoft.com/office/drawing/2014/main" id="{44F0EAE9-956E-EA9D-5030-8B3FBF913F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ubank, Jason" refreshedDate="46028.389892476851" createdVersion="8" refreshedVersion="8" minRefreshableVersion="3" recordCount="122" xr:uid="{DB944A35-E38C-467E-A42A-47BE2D22CF17}">
  <cacheSource type="worksheet">
    <worksheetSource name="_12_19___12_31"/>
  </cacheSource>
  <cacheFields count="5">
    <cacheField name=" Date" numFmtId="14">
      <sharedItems containsNonDate="0" containsDate="1" containsString="0" containsBlank="1" minDate="2025-12-19T00:00:00" maxDate="2026-01-01T00:00:00"/>
    </cacheField>
    <cacheField name="Amount" numFmtId="0">
      <sharedItems containsString="0" containsBlank="1" containsNumber="1" containsInteger="1" minValue="69" maxValue="24836"/>
    </cacheField>
    <cacheField name="Payer" numFmtId="0">
      <sharedItems containsBlank="1" count="19">
        <s v="AARP "/>
        <s v="AETNA "/>
        <s v="AETNA SLEEP MED"/>
        <s v="BCBS"/>
        <s v="BCBS "/>
        <s v="BCBS SLEEP MED"/>
        <s v="CCH "/>
        <s v="CIGNA "/>
        <s v="GEHA "/>
        <s v="HUMANA"/>
        <s v="HUMANA "/>
        <s v="HUMANA  "/>
        <s v="MEDICARE "/>
        <s v="TRILLIUM "/>
        <s v="UHC "/>
        <s v="UHC SLEEP MED"/>
        <s v="UMR "/>
        <s v="WELLCARE "/>
        <m/>
      </sharedItems>
    </cacheField>
    <cacheField name="Department" numFmtId="0">
      <sharedItems containsBlank="1" count="6">
        <s v="DENTAL FACULTY PRACTIC"/>
        <s v="UNC ORAL &amp; MAXILL PATH"/>
        <s v="UNC ORAL &amp; MAXILL"/>
        <s v="UNC CRANIOFACIAL CENTE"/>
        <s v="SOD OS"/>
        <m/>
      </sharedItems>
    </cacheField>
    <cacheField name="Remittance Type" numFmtId="0">
      <sharedItems containsBlank="1" count="3">
        <s v="Auto"/>
        <s v="Manual "/>
        <m/>
      </sharedItems>
    </cacheField>
  </cacheFields>
  <extLst>
    <ext xmlns:x14="http://schemas.microsoft.com/office/spreadsheetml/2009/9/main" uri="{725AE2AE-9491-48be-B2B4-4EB974FC3084}">
      <x14:pivotCacheDefinition pivotCacheId="4136877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2">
  <r>
    <d v="2025-12-30T00:00:00"/>
    <n v="8728"/>
    <x v="0"/>
    <x v="0"/>
    <x v="0"/>
  </r>
  <r>
    <d v="2025-12-22T00:00:00"/>
    <n v="22875"/>
    <x v="1"/>
    <x v="0"/>
    <x v="0"/>
  </r>
  <r>
    <d v="2025-12-23T00:00:00"/>
    <n v="9393"/>
    <x v="1"/>
    <x v="1"/>
    <x v="0"/>
  </r>
  <r>
    <d v="2025-12-23T00:00:00"/>
    <n v="20503"/>
    <x v="1"/>
    <x v="0"/>
    <x v="0"/>
  </r>
  <r>
    <d v="2025-12-24T00:00:00"/>
    <n v="23556"/>
    <x v="1"/>
    <x v="1"/>
    <x v="0"/>
  </r>
  <r>
    <d v="2025-12-24T00:00:00"/>
    <n v="11589"/>
    <x v="1"/>
    <x v="0"/>
    <x v="0"/>
  </r>
  <r>
    <d v="2025-12-24T00:00:00"/>
    <n v="1501"/>
    <x v="1"/>
    <x v="0"/>
    <x v="0"/>
  </r>
  <r>
    <d v="2025-12-30T00:00:00"/>
    <n v="13121"/>
    <x v="1"/>
    <x v="1"/>
    <x v="0"/>
  </r>
  <r>
    <d v="2025-12-30T00:00:00"/>
    <n v="5232"/>
    <x v="1"/>
    <x v="1"/>
    <x v="0"/>
  </r>
  <r>
    <d v="2025-12-30T00:00:00"/>
    <n v="8524"/>
    <x v="1"/>
    <x v="0"/>
    <x v="0"/>
  </r>
  <r>
    <d v="2025-12-30T00:00:00"/>
    <n v="7232"/>
    <x v="1"/>
    <x v="0"/>
    <x v="0"/>
  </r>
  <r>
    <d v="2025-12-31T00:00:00"/>
    <n v="7440"/>
    <x v="1"/>
    <x v="1"/>
    <x v="0"/>
  </r>
  <r>
    <d v="2025-12-31T00:00:00"/>
    <n v="14461"/>
    <x v="1"/>
    <x v="0"/>
    <x v="0"/>
  </r>
  <r>
    <d v="2025-12-24T00:00:00"/>
    <n v="1580"/>
    <x v="2"/>
    <x v="0"/>
    <x v="1"/>
  </r>
  <r>
    <d v="2025-12-31T00:00:00"/>
    <n v="9990"/>
    <x v="2"/>
    <x v="0"/>
    <x v="1"/>
  </r>
  <r>
    <d v="2025-12-19T00:00:00"/>
    <n v="7598"/>
    <x v="3"/>
    <x v="2"/>
    <x v="0"/>
  </r>
  <r>
    <d v="2025-12-29T00:00:00"/>
    <n v="3882"/>
    <x v="3"/>
    <x v="0"/>
    <x v="0"/>
  </r>
  <r>
    <d v="2025-12-29T00:00:00"/>
    <n v="20466"/>
    <x v="3"/>
    <x v="2"/>
    <x v="0"/>
  </r>
  <r>
    <d v="2025-12-29T00:00:00"/>
    <n v="20891"/>
    <x v="3"/>
    <x v="0"/>
    <x v="0"/>
  </r>
  <r>
    <d v="2025-12-29T00:00:00"/>
    <n v="21572"/>
    <x v="3"/>
    <x v="3"/>
    <x v="0"/>
  </r>
  <r>
    <d v="2025-12-29T00:00:00"/>
    <n v="23121"/>
    <x v="3"/>
    <x v="2"/>
    <x v="0"/>
  </r>
  <r>
    <d v="2025-12-29T00:00:00"/>
    <n v="4315"/>
    <x v="3"/>
    <x v="3"/>
    <x v="0"/>
  </r>
  <r>
    <d v="2025-12-29T00:00:00"/>
    <n v="14942"/>
    <x v="3"/>
    <x v="0"/>
    <x v="0"/>
  </r>
  <r>
    <d v="2025-12-29T00:00:00"/>
    <n v="16331"/>
    <x v="3"/>
    <x v="2"/>
    <x v="0"/>
  </r>
  <r>
    <d v="2025-12-29T00:00:00"/>
    <n v="2032"/>
    <x v="3"/>
    <x v="3"/>
    <x v="0"/>
  </r>
  <r>
    <d v="2025-12-19T00:00:00"/>
    <n v="17007"/>
    <x v="4"/>
    <x v="0"/>
    <x v="0"/>
  </r>
  <r>
    <d v="2025-12-19T00:00:00"/>
    <n v="20452"/>
    <x v="4"/>
    <x v="2"/>
    <x v="0"/>
  </r>
  <r>
    <d v="2025-12-22T00:00:00"/>
    <n v="19877"/>
    <x v="4"/>
    <x v="0"/>
    <x v="0"/>
  </r>
  <r>
    <d v="2025-12-22T00:00:00"/>
    <n v="11095"/>
    <x v="4"/>
    <x v="0"/>
    <x v="0"/>
  </r>
  <r>
    <d v="2025-12-22T00:00:00"/>
    <n v="2075"/>
    <x v="4"/>
    <x v="3"/>
    <x v="0"/>
  </r>
  <r>
    <d v="2025-12-22T00:00:00"/>
    <n v="18164"/>
    <x v="4"/>
    <x v="0"/>
    <x v="0"/>
  </r>
  <r>
    <d v="2025-12-23T00:00:00"/>
    <n v="13598"/>
    <x v="4"/>
    <x v="2"/>
    <x v="0"/>
  </r>
  <r>
    <d v="2025-12-23T00:00:00"/>
    <n v="20940"/>
    <x v="4"/>
    <x v="0"/>
    <x v="0"/>
  </r>
  <r>
    <d v="2025-12-23T00:00:00"/>
    <n v="18164"/>
    <x v="4"/>
    <x v="0"/>
    <x v="0"/>
  </r>
  <r>
    <d v="2025-12-24T00:00:00"/>
    <n v="17562"/>
    <x v="4"/>
    <x v="2"/>
    <x v="0"/>
  </r>
  <r>
    <d v="2025-12-24T00:00:00"/>
    <n v="24131"/>
    <x v="4"/>
    <x v="3"/>
    <x v="0"/>
  </r>
  <r>
    <d v="2025-12-26T00:00:00"/>
    <n v="6561"/>
    <x v="4"/>
    <x v="0"/>
    <x v="0"/>
  </r>
  <r>
    <d v="2025-12-26T00:00:00"/>
    <n v="23657"/>
    <x v="4"/>
    <x v="2"/>
    <x v="0"/>
  </r>
  <r>
    <d v="2025-12-26T00:00:00"/>
    <n v="24836"/>
    <x v="4"/>
    <x v="0"/>
    <x v="0"/>
  </r>
  <r>
    <d v="2025-12-30T00:00:00"/>
    <n v="2516"/>
    <x v="4"/>
    <x v="2"/>
    <x v="0"/>
  </r>
  <r>
    <d v="2025-12-30T00:00:00"/>
    <n v="2999"/>
    <x v="4"/>
    <x v="2"/>
    <x v="0"/>
  </r>
  <r>
    <d v="2025-12-30T00:00:00"/>
    <n v="21762"/>
    <x v="4"/>
    <x v="3"/>
    <x v="0"/>
  </r>
  <r>
    <d v="2025-12-30T00:00:00"/>
    <n v="7436"/>
    <x v="4"/>
    <x v="0"/>
    <x v="0"/>
  </r>
  <r>
    <d v="2025-12-31T00:00:00"/>
    <n v="1289"/>
    <x v="4"/>
    <x v="0"/>
    <x v="0"/>
  </r>
  <r>
    <d v="2025-12-31T00:00:00"/>
    <n v="23868"/>
    <x v="4"/>
    <x v="2"/>
    <x v="0"/>
  </r>
  <r>
    <d v="2025-12-31T00:00:00"/>
    <n v="23705"/>
    <x v="4"/>
    <x v="2"/>
    <x v="0"/>
  </r>
  <r>
    <d v="2025-12-31T00:00:00"/>
    <n v="7559"/>
    <x v="4"/>
    <x v="0"/>
    <x v="0"/>
  </r>
  <r>
    <d v="2025-12-31T00:00:00"/>
    <n v="23329"/>
    <x v="4"/>
    <x v="3"/>
    <x v="0"/>
  </r>
  <r>
    <d v="2025-12-24T00:00:00"/>
    <n v="3631"/>
    <x v="5"/>
    <x v="0"/>
    <x v="1"/>
  </r>
  <r>
    <d v="2025-12-30T00:00:00"/>
    <n v="22345"/>
    <x v="5"/>
    <x v="0"/>
    <x v="1"/>
  </r>
  <r>
    <d v="2025-12-30T00:00:00"/>
    <n v="7084"/>
    <x v="5"/>
    <x v="0"/>
    <x v="1"/>
  </r>
  <r>
    <d v="2025-12-30T00:00:00"/>
    <n v="11780"/>
    <x v="5"/>
    <x v="0"/>
    <x v="1"/>
  </r>
  <r>
    <d v="2025-12-22T00:00:00"/>
    <n v="12423"/>
    <x v="6"/>
    <x v="1"/>
    <x v="0"/>
  </r>
  <r>
    <d v="2025-12-22T00:00:00"/>
    <n v="16840"/>
    <x v="6"/>
    <x v="0"/>
    <x v="1"/>
  </r>
  <r>
    <d v="2025-12-22T00:00:00"/>
    <n v="18970"/>
    <x v="6"/>
    <x v="2"/>
    <x v="1"/>
  </r>
  <r>
    <d v="2025-12-23T00:00:00"/>
    <n v="6516"/>
    <x v="6"/>
    <x v="3"/>
    <x v="1"/>
  </r>
  <r>
    <d v="2025-12-29T00:00:00"/>
    <n v="19057"/>
    <x v="6"/>
    <x v="1"/>
    <x v="0"/>
  </r>
  <r>
    <d v="2025-12-29T00:00:00"/>
    <n v="1601"/>
    <x v="6"/>
    <x v="2"/>
    <x v="1"/>
  </r>
  <r>
    <d v="2025-12-30T00:00:00"/>
    <n v="24280"/>
    <x v="6"/>
    <x v="0"/>
    <x v="1"/>
  </r>
  <r>
    <d v="2025-12-30T00:00:00"/>
    <n v="15905"/>
    <x v="6"/>
    <x v="2"/>
    <x v="1"/>
  </r>
  <r>
    <d v="2025-12-19T00:00:00"/>
    <n v="13732"/>
    <x v="7"/>
    <x v="1"/>
    <x v="0"/>
  </r>
  <r>
    <d v="2025-12-29T00:00:00"/>
    <n v="23931"/>
    <x v="7"/>
    <x v="1"/>
    <x v="0"/>
  </r>
  <r>
    <d v="2025-12-31T00:00:00"/>
    <n v="14978"/>
    <x v="7"/>
    <x v="1"/>
    <x v="0"/>
  </r>
  <r>
    <d v="2025-12-31T00:00:00"/>
    <n v="24548"/>
    <x v="7"/>
    <x v="1"/>
    <x v="0"/>
  </r>
  <r>
    <d v="2025-12-26T00:00:00"/>
    <n v="14620"/>
    <x v="8"/>
    <x v="0"/>
    <x v="0"/>
  </r>
  <r>
    <d v="2025-12-23T00:00:00"/>
    <n v="20388"/>
    <x v="9"/>
    <x v="0"/>
    <x v="1"/>
  </r>
  <r>
    <d v="2025-12-19T00:00:00"/>
    <n v="779"/>
    <x v="10"/>
    <x v="0"/>
    <x v="0"/>
  </r>
  <r>
    <d v="2025-12-29T00:00:00"/>
    <n v="2113"/>
    <x v="10"/>
    <x v="0"/>
    <x v="0"/>
  </r>
  <r>
    <d v="2025-12-30T00:00:00"/>
    <n v="13746"/>
    <x v="10"/>
    <x v="0"/>
    <x v="0"/>
  </r>
  <r>
    <d v="2025-12-30T00:00:00"/>
    <n v="24193"/>
    <x v="10"/>
    <x v="0"/>
    <x v="0"/>
  </r>
  <r>
    <d v="2025-12-30T00:00:00"/>
    <n v="15515"/>
    <x v="10"/>
    <x v="0"/>
    <x v="0"/>
  </r>
  <r>
    <d v="2025-12-30T00:00:00"/>
    <n v="8606"/>
    <x v="10"/>
    <x v="0"/>
    <x v="0"/>
  </r>
  <r>
    <d v="2025-12-30T00:00:00"/>
    <n v="5847"/>
    <x v="10"/>
    <x v="0"/>
    <x v="0"/>
  </r>
  <r>
    <d v="2025-12-24T00:00:00"/>
    <n v="9783"/>
    <x v="11"/>
    <x v="0"/>
    <x v="1"/>
  </r>
  <r>
    <d v="2025-12-19T00:00:00"/>
    <n v="69"/>
    <x v="12"/>
    <x v="0"/>
    <x v="0"/>
  </r>
  <r>
    <d v="2025-12-22T00:00:00"/>
    <n v="18356"/>
    <x v="12"/>
    <x v="0"/>
    <x v="0"/>
  </r>
  <r>
    <d v="2025-12-22T00:00:00"/>
    <n v="24418"/>
    <x v="12"/>
    <x v="2"/>
    <x v="0"/>
  </r>
  <r>
    <d v="2025-12-23T00:00:00"/>
    <n v="11644"/>
    <x v="12"/>
    <x v="0"/>
    <x v="0"/>
  </r>
  <r>
    <d v="2025-12-23T00:00:00"/>
    <n v="4675"/>
    <x v="12"/>
    <x v="2"/>
    <x v="0"/>
  </r>
  <r>
    <d v="2025-12-29T00:00:00"/>
    <n v="19608"/>
    <x v="12"/>
    <x v="0"/>
    <x v="0"/>
  </r>
  <r>
    <d v="2025-12-29T00:00:00"/>
    <n v="23747"/>
    <x v="12"/>
    <x v="2"/>
    <x v="0"/>
  </r>
  <r>
    <d v="2025-12-30T00:00:00"/>
    <n v="13599"/>
    <x v="12"/>
    <x v="0"/>
    <x v="0"/>
  </r>
  <r>
    <d v="2025-12-31T00:00:00"/>
    <n v="5482"/>
    <x v="12"/>
    <x v="0"/>
    <x v="0"/>
  </r>
  <r>
    <d v="2025-12-31T00:00:00"/>
    <n v="7001"/>
    <x v="12"/>
    <x v="2"/>
    <x v="0"/>
  </r>
  <r>
    <d v="2025-12-24T00:00:00"/>
    <n v="18545"/>
    <x v="13"/>
    <x v="1"/>
    <x v="0"/>
  </r>
  <r>
    <d v="2025-12-24T00:00:00"/>
    <n v="15435"/>
    <x v="13"/>
    <x v="2"/>
    <x v="1"/>
  </r>
  <r>
    <d v="2025-12-31T00:00:00"/>
    <n v="9586"/>
    <x v="13"/>
    <x v="0"/>
    <x v="1"/>
  </r>
  <r>
    <d v="2025-12-31T00:00:00"/>
    <n v="4533"/>
    <x v="13"/>
    <x v="2"/>
    <x v="1"/>
  </r>
  <r>
    <d v="2025-12-19T00:00:00"/>
    <n v="10314"/>
    <x v="14"/>
    <x v="1"/>
    <x v="0"/>
  </r>
  <r>
    <d v="2025-12-19T00:00:00"/>
    <n v="20454"/>
    <x v="14"/>
    <x v="0"/>
    <x v="0"/>
  </r>
  <r>
    <d v="2025-12-19T00:00:00"/>
    <n v="15796"/>
    <x v="14"/>
    <x v="0"/>
    <x v="0"/>
  </r>
  <r>
    <d v="2025-12-19T00:00:00"/>
    <n v="7201"/>
    <x v="14"/>
    <x v="3"/>
    <x v="1"/>
  </r>
  <r>
    <d v="2025-12-19T00:00:00"/>
    <n v="1896"/>
    <x v="14"/>
    <x v="3"/>
    <x v="1"/>
  </r>
  <r>
    <d v="2025-12-22T00:00:00"/>
    <n v="2142"/>
    <x v="14"/>
    <x v="0"/>
    <x v="0"/>
  </r>
  <r>
    <d v="2025-12-23T00:00:00"/>
    <n v="17769"/>
    <x v="14"/>
    <x v="0"/>
    <x v="0"/>
  </r>
  <r>
    <d v="2025-12-23T00:00:00"/>
    <n v="329"/>
    <x v="14"/>
    <x v="1"/>
    <x v="0"/>
  </r>
  <r>
    <d v="2025-12-23T00:00:00"/>
    <n v="7596"/>
    <x v="14"/>
    <x v="0"/>
    <x v="0"/>
  </r>
  <r>
    <d v="2025-12-24T00:00:00"/>
    <n v="15256"/>
    <x v="14"/>
    <x v="1"/>
    <x v="0"/>
  </r>
  <r>
    <d v="2025-12-26T00:00:00"/>
    <n v="18026"/>
    <x v="14"/>
    <x v="0"/>
    <x v="0"/>
  </r>
  <r>
    <d v="2025-12-29T00:00:00"/>
    <n v="7718"/>
    <x v="14"/>
    <x v="0"/>
    <x v="0"/>
  </r>
  <r>
    <d v="2025-12-29T00:00:00"/>
    <n v="12840"/>
    <x v="14"/>
    <x v="1"/>
    <x v="0"/>
  </r>
  <r>
    <d v="2025-12-29T00:00:00"/>
    <n v="9264"/>
    <x v="14"/>
    <x v="0"/>
    <x v="0"/>
  </r>
  <r>
    <d v="2025-12-29T00:00:00"/>
    <n v="19623"/>
    <x v="14"/>
    <x v="1"/>
    <x v="0"/>
  </r>
  <r>
    <d v="2025-12-29T00:00:00"/>
    <n v="16523"/>
    <x v="14"/>
    <x v="0"/>
    <x v="0"/>
  </r>
  <r>
    <d v="2025-12-30T00:00:00"/>
    <n v="9632"/>
    <x v="14"/>
    <x v="0"/>
    <x v="0"/>
  </r>
  <r>
    <d v="2025-12-30T00:00:00"/>
    <n v="12677"/>
    <x v="14"/>
    <x v="1"/>
    <x v="0"/>
  </r>
  <r>
    <d v="2025-12-30T00:00:00"/>
    <n v="11764"/>
    <x v="14"/>
    <x v="0"/>
    <x v="0"/>
  </r>
  <r>
    <d v="2025-12-30T00:00:00"/>
    <n v="11641"/>
    <x v="14"/>
    <x v="0"/>
    <x v="0"/>
  </r>
  <r>
    <d v="2025-12-30T00:00:00"/>
    <n v="11087"/>
    <x v="14"/>
    <x v="4"/>
    <x v="1"/>
  </r>
  <r>
    <d v="2025-12-30T00:00:00"/>
    <n v="9012"/>
    <x v="14"/>
    <x v="0"/>
    <x v="0"/>
  </r>
  <r>
    <d v="2025-12-31T00:00:00"/>
    <n v="10595"/>
    <x v="14"/>
    <x v="0"/>
    <x v="0"/>
  </r>
  <r>
    <d v="2025-12-31T00:00:00"/>
    <n v="15758"/>
    <x v="14"/>
    <x v="1"/>
    <x v="0"/>
  </r>
  <r>
    <d v="2025-12-29T00:00:00"/>
    <n v="20379"/>
    <x v="15"/>
    <x v="0"/>
    <x v="1"/>
  </r>
  <r>
    <d v="2025-12-19T00:00:00"/>
    <n v="13486"/>
    <x v="16"/>
    <x v="1"/>
    <x v="0"/>
  </r>
  <r>
    <d v="2025-12-22T00:00:00"/>
    <n v="16473"/>
    <x v="16"/>
    <x v="3"/>
    <x v="1"/>
  </r>
  <r>
    <d v="2025-12-23T00:00:00"/>
    <n v="7845"/>
    <x v="16"/>
    <x v="1"/>
    <x v="0"/>
  </r>
  <r>
    <d v="2025-12-31T00:00:00"/>
    <n v="9022"/>
    <x v="16"/>
    <x v="1"/>
    <x v="0"/>
  </r>
  <r>
    <d v="2025-12-19T00:00:00"/>
    <n v="779"/>
    <x v="17"/>
    <x v="2"/>
    <x v="1"/>
  </r>
  <r>
    <d v="2025-12-23T00:00:00"/>
    <n v="8767"/>
    <x v="17"/>
    <x v="0"/>
    <x v="1"/>
  </r>
  <r>
    <d v="2025-12-29T00:00:00"/>
    <n v="16302"/>
    <x v="17"/>
    <x v="1"/>
    <x v="0"/>
  </r>
  <r>
    <d v="2025-12-29T00:00:00"/>
    <n v="18750"/>
    <x v="17"/>
    <x v="0"/>
    <x v="1"/>
  </r>
  <r>
    <m/>
    <m/>
    <x v="18"/>
    <x v="5"/>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70CE23-A3A7-43D9-9DEB-E36800C6B42F}" name="PivotTable6"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10" firstHeaderRow="1" firstDataRow="1" firstDataCol="1"/>
  <pivotFields count="5">
    <pivotField numFmtId="14" showAll="0"/>
    <pivotField dataField="1" showAll="0"/>
    <pivotField showAll="0"/>
    <pivotField axis="axisRow" showAll="0">
      <items count="7">
        <item x="0"/>
        <item x="4"/>
        <item x="3"/>
        <item x="2"/>
        <item x="1"/>
        <item x="5"/>
        <item t="default"/>
      </items>
    </pivotField>
    <pivotField showAll="0"/>
  </pivotFields>
  <rowFields count="1">
    <field x="3"/>
  </rowFields>
  <rowItems count="7">
    <i>
      <x/>
    </i>
    <i>
      <x v="1"/>
    </i>
    <i>
      <x v="2"/>
    </i>
    <i>
      <x v="3"/>
    </i>
    <i>
      <x v="4"/>
    </i>
    <i>
      <x v="5"/>
    </i>
    <i t="grand">
      <x/>
    </i>
  </rowItems>
  <colItems count="1">
    <i/>
  </colItems>
  <dataFields count="1">
    <dataField name=" " fld="1"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4"/>
          </reference>
        </references>
      </pivotArea>
    </chartFormat>
    <chartFormat chart="0" format="3">
      <pivotArea type="data" outline="0" fieldPosition="0">
        <references count="2">
          <reference field="4294967294" count="1" selected="0">
            <x v="0"/>
          </reference>
          <reference field="3" count="1" selected="0">
            <x v="3"/>
          </reference>
        </references>
      </pivotArea>
    </chartFormat>
    <chartFormat chart="0" format="4">
      <pivotArea type="data" outline="0" fieldPosition="0">
        <references count="2">
          <reference field="4294967294" count="1" selected="0">
            <x v="0"/>
          </reference>
          <reference field="3" count="1" selected="0">
            <x v="2"/>
          </reference>
        </references>
      </pivotArea>
    </chartFormat>
    <chartFormat chart="0" format="5">
      <pivotArea type="data" outline="0" fieldPosition="0">
        <references count="2">
          <reference field="4294967294" count="1" selected="0">
            <x v="0"/>
          </reference>
          <reference field="3" count="1" selected="0">
            <x v="1"/>
          </reference>
        </references>
      </pivotArea>
    </chartFormat>
    <chartFormat chart="13" format="12" series="1">
      <pivotArea type="data" outline="0" fieldPosition="0">
        <references count="1">
          <reference field="4294967294" count="1" selected="0">
            <x v="0"/>
          </reference>
        </references>
      </pivotArea>
    </chartFormat>
    <chartFormat chart="13" format="13">
      <pivotArea type="data" outline="0" fieldPosition="0">
        <references count="2">
          <reference field="4294967294" count="1" selected="0">
            <x v="0"/>
          </reference>
          <reference field="3" count="1" selected="0">
            <x v="0"/>
          </reference>
        </references>
      </pivotArea>
    </chartFormat>
    <chartFormat chart="13" format="14">
      <pivotArea type="data" outline="0" fieldPosition="0">
        <references count="2">
          <reference field="4294967294" count="1" selected="0">
            <x v="0"/>
          </reference>
          <reference field="3" count="1" selected="0">
            <x v="1"/>
          </reference>
        </references>
      </pivotArea>
    </chartFormat>
    <chartFormat chart="13" format="15">
      <pivotArea type="data" outline="0" fieldPosition="0">
        <references count="2">
          <reference field="4294967294" count="1" selected="0">
            <x v="0"/>
          </reference>
          <reference field="3" count="1" selected="0">
            <x v="2"/>
          </reference>
        </references>
      </pivotArea>
    </chartFormat>
    <chartFormat chart="13" format="16">
      <pivotArea type="data" outline="0" fieldPosition="0">
        <references count="2">
          <reference field="4294967294" count="1" selected="0">
            <x v="0"/>
          </reference>
          <reference field="3" count="1" selected="0">
            <x v="3"/>
          </reference>
        </references>
      </pivotArea>
    </chartFormat>
    <chartFormat chart="13" format="17">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33C6EB-F007-4A7D-98C7-F96FAED29BDB}" name="PivotTable4"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E47" firstHeaderRow="1" firstDataRow="2" firstDataCol="1"/>
  <pivotFields count="5">
    <pivotField numFmtId="14" showAll="0"/>
    <pivotField dataField="1" showAll="0"/>
    <pivotField axis="axisRow" showAll="0">
      <items count="20">
        <item x="0"/>
        <item x="1"/>
        <item x="2"/>
        <item x="3"/>
        <item x="4"/>
        <item x="5"/>
        <item x="6"/>
        <item x="7"/>
        <item x="8"/>
        <item x="9"/>
        <item x="10"/>
        <item x="11"/>
        <item x="12"/>
        <item x="13"/>
        <item x="14"/>
        <item x="15"/>
        <item x="16"/>
        <item x="17"/>
        <item x="18"/>
        <item t="default"/>
      </items>
    </pivotField>
    <pivotField axis="axisRow" showAll="0">
      <items count="7">
        <item x="0"/>
        <item x="4"/>
        <item x="3"/>
        <item x="2"/>
        <item x="1"/>
        <item x="5"/>
        <item t="default"/>
      </items>
    </pivotField>
    <pivotField axis="axisCol" showAll="0">
      <items count="4">
        <item x="0"/>
        <item x="1"/>
        <item x="2"/>
        <item t="default"/>
      </items>
    </pivotField>
  </pivotFields>
  <rowFields count="2">
    <field x="3"/>
    <field x="2"/>
  </rowFields>
  <rowItems count="43">
    <i>
      <x/>
    </i>
    <i r="1">
      <x/>
    </i>
    <i r="1">
      <x v="1"/>
    </i>
    <i r="1">
      <x v="2"/>
    </i>
    <i r="1">
      <x v="3"/>
    </i>
    <i r="1">
      <x v="4"/>
    </i>
    <i r="1">
      <x v="5"/>
    </i>
    <i r="1">
      <x v="6"/>
    </i>
    <i r="1">
      <x v="8"/>
    </i>
    <i r="1">
      <x v="9"/>
    </i>
    <i r="1">
      <x v="10"/>
    </i>
    <i r="1">
      <x v="11"/>
    </i>
    <i r="1">
      <x v="12"/>
    </i>
    <i r="1">
      <x v="13"/>
    </i>
    <i r="1">
      <x v="14"/>
    </i>
    <i r="1">
      <x v="15"/>
    </i>
    <i r="1">
      <x v="17"/>
    </i>
    <i>
      <x v="1"/>
    </i>
    <i r="1">
      <x v="14"/>
    </i>
    <i>
      <x v="2"/>
    </i>
    <i r="1">
      <x v="3"/>
    </i>
    <i r="1">
      <x v="4"/>
    </i>
    <i r="1">
      <x v="6"/>
    </i>
    <i r="1">
      <x v="14"/>
    </i>
    <i r="1">
      <x v="16"/>
    </i>
    <i>
      <x v="3"/>
    </i>
    <i r="1">
      <x v="3"/>
    </i>
    <i r="1">
      <x v="4"/>
    </i>
    <i r="1">
      <x v="6"/>
    </i>
    <i r="1">
      <x v="12"/>
    </i>
    <i r="1">
      <x v="13"/>
    </i>
    <i r="1">
      <x v="17"/>
    </i>
    <i>
      <x v="4"/>
    </i>
    <i r="1">
      <x v="1"/>
    </i>
    <i r="1">
      <x v="6"/>
    </i>
    <i r="1">
      <x v="7"/>
    </i>
    <i r="1">
      <x v="13"/>
    </i>
    <i r="1">
      <x v="14"/>
    </i>
    <i r="1">
      <x v="16"/>
    </i>
    <i r="1">
      <x v="17"/>
    </i>
    <i>
      <x v="5"/>
    </i>
    <i r="1">
      <x v="18"/>
    </i>
    <i t="grand">
      <x/>
    </i>
  </rowItems>
  <colFields count="1">
    <field x="4"/>
  </colFields>
  <colItems count="4">
    <i>
      <x/>
    </i>
    <i>
      <x v="1"/>
    </i>
    <i>
      <x v="2"/>
    </i>
    <i t="grand">
      <x/>
    </i>
  </colItems>
  <dataFields count="1">
    <dataField name="Payments Made" fld="1" subtotal="count" baseField="2" baseItem="16"/>
  </dataFields>
  <chartFormats count="20">
    <chartFormat chart="11" format="8" series="1">
      <pivotArea type="data" outline="0" fieldPosition="0">
        <references count="1">
          <reference field="4" count="1" selected="0">
            <x v="0"/>
          </reference>
        </references>
      </pivotArea>
    </chartFormat>
    <chartFormat chart="11" format="9" series="1">
      <pivotArea type="data" outline="0" fieldPosition="0">
        <references count="1">
          <reference field="4" count="1" selected="0">
            <x v="1"/>
          </reference>
        </references>
      </pivotArea>
    </chartFormat>
    <chartFormat chart="7" format="8" series="1">
      <pivotArea type="data" outline="0" fieldPosition="0">
        <references count="1">
          <reference field="4" count="1" selected="0">
            <x v="0"/>
          </reference>
        </references>
      </pivotArea>
    </chartFormat>
    <chartFormat chart="7" format="9" series="1">
      <pivotArea type="data" outline="0" fieldPosition="0">
        <references count="1">
          <reference field="4" count="1" selected="0">
            <x v="1"/>
          </reference>
        </references>
      </pivotArea>
    </chartFormat>
    <chartFormat chart="6" format="6" series="1">
      <pivotArea type="data" outline="0" fieldPosition="0">
        <references count="1">
          <reference field="4" count="1" selected="0">
            <x v="0"/>
          </reference>
        </references>
      </pivotArea>
    </chartFormat>
    <chartFormat chart="6" format="7" series="1">
      <pivotArea type="data" outline="0" fieldPosition="0">
        <references count="1">
          <reference field="4" count="1" selected="0">
            <x v="1"/>
          </reference>
        </references>
      </pivotArea>
    </chartFormat>
    <chartFormat chart="5" format="4" series="1">
      <pivotArea type="data" outline="0" fieldPosition="0">
        <references count="1">
          <reference field="4" count="1" selected="0">
            <x v="0"/>
          </reference>
        </references>
      </pivotArea>
    </chartFormat>
    <chartFormat chart="5" format="5" series="1">
      <pivotArea type="data" outline="0" fieldPosition="0">
        <references count="1">
          <reference field="4" count="1" selected="0">
            <x v="1"/>
          </reference>
        </references>
      </pivotArea>
    </chartFormat>
    <chartFormat chart="11" format="10" series="1">
      <pivotArea type="data" outline="0" fieldPosition="0">
        <references count="2">
          <reference field="4294967294" count="1" selected="0">
            <x v="0"/>
          </reference>
          <reference field="4" count="1" selected="0">
            <x v="0"/>
          </reference>
        </references>
      </pivotArea>
    </chartFormat>
    <chartFormat chart="11" format="11" series="1">
      <pivotArea type="data" outline="0" fieldPosition="0">
        <references count="2">
          <reference field="4294967294" count="1" selected="0">
            <x v="0"/>
          </reference>
          <reference field="4" count="1" selected="0">
            <x v="1"/>
          </reference>
        </references>
      </pivotArea>
    </chartFormat>
    <chartFormat chart="7" format="10" series="1">
      <pivotArea type="data" outline="0" fieldPosition="0">
        <references count="2">
          <reference field="4294967294" count="1" selected="0">
            <x v="0"/>
          </reference>
          <reference field="4" count="1" selected="0">
            <x v="0"/>
          </reference>
        </references>
      </pivotArea>
    </chartFormat>
    <chartFormat chart="7" format="11" series="1">
      <pivotArea type="data" outline="0" fieldPosition="0">
        <references count="2">
          <reference field="4294967294" count="1" selected="0">
            <x v="0"/>
          </reference>
          <reference field="4" count="1" selected="0">
            <x v="1"/>
          </reference>
        </references>
      </pivotArea>
    </chartFormat>
    <chartFormat chart="6" format="8" series="1">
      <pivotArea type="data" outline="0" fieldPosition="0">
        <references count="2">
          <reference field="4294967294" count="1" selected="0">
            <x v="0"/>
          </reference>
          <reference field="4" count="1" selected="0">
            <x v="0"/>
          </reference>
        </references>
      </pivotArea>
    </chartFormat>
    <chartFormat chart="6" format="9" series="1">
      <pivotArea type="data" outline="0" fieldPosition="0">
        <references count="2">
          <reference field="4294967294" count="1" selected="0">
            <x v="0"/>
          </reference>
          <reference field="4" count="1" selected="0">
            <x v="1"/>
          </reference>
        </references>
      </pivotArea>
    </chartFormat>
    <chartFormat chart="5" format="6" series="1">
      <pivotArea type="data" outline="0" fieldPosition="0">
        <references count="2">
          <reference field="4294967294" count="1" selected="0">
            <x v="0"/>
          </reference>
          <reference field="4" count="1" selected="0">
            <x v="1"/>
          </reference>
        </references>
      </pivotArea>
    </chartFormat>
    <chartFormat chart="11" format="12"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series="1">
      <pivotArea type="data" outline="0" fieldPosition="0">
        <references count="2">
          <reference field="4294967294" count="1" selected="0">
            <x v="0"/>
          </reference>
          <reference field="4" count="1" selected="0">
            <x v="0"/>
          </reference>
        </references>
      </pivotArea>
    </chartFormat>
    <chartFormat chart="11" format="13" series="1">
      <pivotArea type="data" outline="0" fieldPosition="0">
        <references count="2">
          <reference field="4294967294" count="1" selected="0">
            <x v="0"/>
          </reference>
          <reference field="4" count="1" selected="0">
            <x v="2"/>
          </reference>
        </references>
      </pivotArea>
    </chartFormat>
    <chartFormat chart="5" format="9"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B80FBA-0642-4E74-8F1C-EC99EBC3925A}" name="PivotTable9"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H24" firstHeaderRow="1" firstDataRow="2" firstDataCol="1"/>
  <pivotFields count="5">
    <pivotField numFmtId="14" showAll="0"/>
    <pivotField dataField="1" showAll="0"/>
    <pivotField axis="axisRow" showAll="0">
      <items count="20">
        <item x="0"/>
        <item x="1"/>
        <item x="2"/>
        <item x="3"/>
        <item x="4"/>
        <item x="5"/>
        <item x="6"/>
        <item x="7"/>
        <item x="8"/>
        <item x="9"/>
        <item x="10"/>
        <item x="11"/>
        <item x="12"/>
        <item x="13"/>
        <item x="14"/>
        <item x="15"/>
        <item x="16"/>
        <item x="17"/>
        <item x="18"/>
        <item t="default"/>
      </items>
    </pivotField>
    <pivotField axis="axisCol" showAll="0">
      <items count="7">
        <item x="0"/>
        <item x="4"/>
        <item x="3"/>
        <item x="2"/>
        <item x="1"/>
        <item x="5"/>
        <item t="default"/>
      </items>
    </pivotField>
    <pivotField showAll="0"/>
  </pivotFields>
  <rowFields count="1">
    <field x="2"/>
  </rowFields>
  <rowItems count="20">
    <i>
      <x/>
    </i>
    <i>
      <x v="1"/>
    </i>
    <i>
      <x v="2"/>
    </i>
    <i>
      <x v="3"/>
    </i>
    <i>
      <x v="4"/>
    </i>
    <i>
      <x v="5"/>
    </i>
    <i>
      <x v="6"/>
    </i>
    <i>
      <x v="7"/>
    </i>
    <i>
      <x v="8"/>
    </i>
    <i>
      <x v="9"/>
    </i>
    <i>
      <x v="10"/>
    </i>
    <i>
      <x v="11"/>
    </i>
    <i>
      <x v="12"/>
    </i>
    <i>
      <x v="13"/>
    </i>
    <i>
      <x v="14"/>
    </i>
    <i>
      <x v="15"/>
    </i>
    <i>
      <x v="16"/>
    </i>
    <i>
      <x v="17"/>
    </i>
    <i>
      <x v="18"/>
    </i>
    <i t="grand">
      <x/>
    </i>
  </rowItems>
  <colFields count="1">
    <field x="3"/>
  </colFields>
  <colItems count="7">
    <i>
      <x/>
    </i>
    <i>
      <x v="1"/>
    </i>
    <i>
      <x v="2"/>
    </i>
    <i>
      <x v="3"/>
    </i>
    <i>
      <x v="4"/>
    </i>
    <i>
      <x v="5"/>
    </i>
    <i t="grand">
      <x/>
    </i>
  </colItems>
  <dataFields count="1">
    <dataField name="Count of Amount" fld="1" subtotal="count" baseField="0" baseItem="0"/>
  </dataFields>
  <chartFormats count="29">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2">
          <reference field="4294967294" count="1" selected="0">
            <x v="0"/>
          </reference>
          <reference field="2" count="1" selected="0">
            <x v="6"/>
          </reference>
        </references>
      </pivotArea>
    </chartFormat>
    <chartFormat chart="0" format="7" series="1">
      <pivotArea type="data" outline="0" fieldPosition="0">
        <references count="2">
          <reference field="4294967294" count="1" selected="0">
            <x v="0"/>
          </reference>
          <reference field="2" count="1" selected="0">
            <x v="7"/>
          </reference>
        </references>
      </pivotArea>
    </chartFormat>
    <chartFormat chart="0" format="8" series="1">
      <pivotArea type="data" outline="0" fieldPosition="0">
        <references count="2">
          <reference field="4294967294" count="1" selected="0">
            <x v="0"/>
          </reference>
          <reference field="2" count="1" selected="0">
            <x v="8"/>
          </reference>
        </references>
      </pivotArea>
    </chartFormat>
    <chartFormat chart="0" format="9" series="1">
      <pivotArea type="data" outline="0" fieldPosition="0">
        <references count="2">
          <reference field="4294967294" count="1" selected="0">
            <x v="0"/>
          </reference>
          <reference field="2" count="1" selected="0">
            <x v="9"/>
          </reference>
        </references>
      </pivotArea>
    </chartFormat>
    <chartFormat chart="0" format="10" series="1">
      <pivotArea type="data" outline="0" fieldPosition="0">
        <references count="2">
          <reference field="4294967294" count="1" selected="0">
            <x v="0"/>
          </reference>
          <reference field="2" count="1" selected="0">
            <x v="10"/>
          </reference>
        </references>
      </pivotArea>
    </chartFormat>
    <chartFormat chart="0" format="11" series="1">
      <pivotArea type="data" outline="0" fieldPosition="0">
        <references count="2">
          <reference field="4294967294" count="1" selected="0">
            <x v="0"/>
          </reference>
          <reference field="2" count="1" selected="0">
            <x v="11"/>
          </reference>
        </references>
      </pivotArea>
    </chartFormat>
    <chartFormat chart="0" format="12" series="1">
      <pivotArea type="data" outline="0" fieldPosition="0">
        <references count="2">
          <reference field="4294967294" count="1" selected="0">
            <x v="0"/>
          </reference>
          <reference field="2" count="1" selected="0">
            <x v="12"/>
          </reference>
        </references>
      </pivotArea>
    </chartFormat>
    <chartFormat chart="0" format="13" series="1">
      <pivotArea type="data" outline="0" fieldPosition="0">
        <references count="2">
          <reference field="4294967294" count="1" selected="0">
            <x v="0"/>
          </reference>
          <reference field="2" count="1" selected="0">
            <x v="13"/>
          </reference>
        </references>
      </pivotArea>
    </chartFormat>
    <chartFormat chart="0" format="14" series="1">
      <pivotArea type="data" outline="0" fieldPosition="0">
        <references count="2">
          <reference field="4294967294" count="1" selected="0">
            <x v="0"/>
          </reference>
          <reference field="2" count="1" selected="0">
            <x v="14"/>
          </reference>
        </references>
      </pivotArea>
    </chartFormat>
    <chartFormat chart="0" format="15" series="1">
      <pivotArea type="data" outline="0" fieldPosition="0">
        <references count="2">
          <reference field="4294967294" count="1" selected="0">
            <x v="0"/>
          </reference>
          <reference field="2" count="1" selected="0">
            <x v="15"/>
          </reference>
        </references>
      </pivotArea>
    </chartFormat>
    <chartFormat chart="0" format="16" series="1">
      <pivotArea type="data" outline="0" fieldPosition="0">
        <references count="2">
          <reference field="4294967294" count="1" selected="0">
            <x v="0"/>
          </reference>
          <reference field="2" count="1" selected="0">
            <x v="16"/>
          </reference>
        </references>
      </pivotArea>
    </chartFormat>
    <chartFormat chart="0" format="17" series="1">
      <pivotArea type="data" outline="0" fieldPosition="0">
        <references count="2">
          <reference field="4294967294" count="1" selected="0">
            <x v="0"/>
          </reference>
          <reference field="2" count="1" selected="0">
            <x v="17"/>
          </reference>
        </references>
      </pivotArea>
    </chartFormat>
    <chartFormat chart="0" format="18" series="1">
      <pivotArea type="data" outline="0" fieldPosition="0">
        <references count="2">
          <reference field="4294967294" count="1" selected="0">
            <x v="0"/>
          </reference>
          <reference field="3" count="1" selected="0">
            <x v="1"/>
          </reference>
        </references>
      </pivotArea>
    </chartFormat>
    <chartFormat chart="0" format="19" series="1">
      <pivotArea type="data" outline="0" fieldPosition="0">
        <references count="2">
          <reference field="4294967294" count="1" selected="0">
            <x v="0"/>
          </reference>
          <reference field="3" count="1" selected="0">
            <x v="2"/>
          </reference>
        </references>
      </pivotArea>
    </chartFormat>
    <chartFormat chart="0" format="20" series="1">
      <pivotArea type="data" outline="0" fieldPosition="0">
        <references count="2">
          <reference field="4294967294" count="1" selected="0">
            <x v="0"/>
          </reference>
          <reference field="3" count="1" selected="0">
            <x v="3"/>
          </reference>
        </references>
      </pivotArea>
    </chartFormat>
    <chartFormat chart="0" format="21" series="1">
      <pivotArea type="data" outline="0" fieldPosition="0">
        <references count="2">
          <reference field="4294967294" count="1" selected="0">
            <x v="0"/>
          </reference>
          <reference field="3" count="1" selected="0">
            <x v="4"/>
          </reference>
        </references>
      </pivotArea>
    </chartFormat>
    <chartFormat chart="3" format="27" series="1">
      <pivotArea type="data" outline="0" fieldPosition="0">
        <references count="2">
          <reference field="4294967294" count="1" selected="0">
            <x v="0"/>
          </reference>
          <reference field="3" count="1" selected="0">
            <x v="0"/>
          </reference>
        </references>
      </pivotArea>
    </chartFormat>
    <chartFormat chart="3" format="28" series="1">
      <pivotArea type="data" outline="0" fieldPosition="0">
        <references count="2">
          <reference field="4294967294" count="1" selected="0">
            <x v="0"/>
          </reference>
          <reference field="3" count="1" selected="0">
            <x v="1"/>
          </reference>
        </references>
      </pivotArea>
    </chartFormat>
    <chartFormat chart="3" format="29" series="1">
      <pivotArea type="data" outline="0" fieldPosition="0">
        <references count="2">
          <reference field="4294967294" count="1" selected="0">
            <x v="0"/>
          </reference>
          <reference field="3" count="1" selected="0">
            <x v="2"/>
          </reference>
        </references>
      </pivotArea>
    </chartFormat>
    <chartFormat chart="3" format="30" series="1">
      <pivotArea type="data" outline="0" fieldPosition="0">
        <references count="2">
          <reference field="4294967294" count="1" selected="0">
            <x v="0"/>
          </reference>
          <reference field="3" count="1" selected="0">
            <x v="3"/>
          </reference>
        </references>
      </pivotArea>
    </chartFormat>
    <chartFormat chart="3" format="31" series="1">
      <pivotArea type="data" outline="0" fieldPosition="0">
        <references count="2">
          <reference field="4294967294" count="1" selected="0">
            <x v="0"/>
          </reference>
          <reference field="3" count="1" selected="0">
            <x v="4"/>
          </reference>
        </references>
      </pivotArea>
    </chartFormat>
    <chartFormat chart="0" format="22" series="1">
      <pivotArea type="data" outline="0" fieldPosition="0">
        <references count="2">
          <reference field="4294967294" count="1" selected="0">
            <x v="0"/>
          </reference>
          <reference field="3" count="1" selected="0">
            <x v="0"/>
          </reference>
        </references>
      </pivotArea>
    </chartFormat>
    <chartFormat chart="3" format="32" series="1">
      <pivotArea type="data" outline="0" fieldPosition="0">
        <references count="2">
          <reference field="4294967294" count="1" selected="0">
            <x v="0"/>
          </reference>
          <reference field="3" count="1" selected="0">
            <x v="5"/>
          </reference>
        </references>
      </pivotArea>
    </chartFormat>
    <chartFormat chart="0" format="23" series="1">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EA8149C-FC71-4CBD-8CA3-9F79CCB58031}" name="PivotTable10"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E11" firstHeaderRow="1" firstDataRow="2" firstDataCol="1"/>
  <pivotFields count="5">
    <pivotField numFmtId="14" showAll="0"/>
    <pivotField showAll="0"/>
    <pivotField showAll="0"/>
    <pivotField axis="axisRow" showAll="0">
      <items count="7">
        <item x="0"/>
        <item x="4"/>
        <item x="3"/>
        <item x="2"/>
        <item x="1"/>
        <item x="5"/>
        <item t="default"/>
      </items>
    </pivotField>
    <pivotField axis="axisCol" dataField="1" showAll="0">
      <items count="4">
        <item x="0"/>
        <item x="1"/>
        <item x="2"/>
        <item t="default"/>
      </items>
    </pivotField>
  </pivotFields>
  <rowFields count="1">
    <field x="3"/>
  </rowFields>
  <rowItems count="7">
    <i>
      <x/>
    </i>
    <i>
      <x v="1"/>
    </i>
    <i>
      <x v="2"/>
    </i>
    <i>
      <x v="3"/>
    </i>
    <i>
      <x v="4"/>
    </i>
    <i>
      <x v="5"/>
    </i>
    <i t="grand">
      <x/>
    </i>
  </rowItems>
  <colFields count="1">
    <field x="4"/>
  </colFields>
  <colItems count="4">
    <i>
      <x/>
    </i>
    <i>
      <x v="1"/>
    </i>
    <i>
      <x v="2"/>
    </i>
    <i t="grand">
      <x/>
    </i>
  </colItems>
  <dataFields count="1">
    <dataField name="Count of Remittance Type" fld="4" subtotal="count" baseField="0" baseItem="0"/>
  </dataFields>
  <chartFormats count="9">
    <chartFormat chart="0" format="10" series="1">
      <pivotArea type="data" outline="0" fieldPosition="0">
        <references count="1">
          <reference field="4" count="1" selected="0">
            <x v="1"/>
          </reference>
        </references>
      </pivotArea>
    </chartFormat>
    <chartFormat chart="0" format="11" series="1">
      <pivotArea type="data" outline="0" fieldPosition="0">
        <references count="1">
          <reference field="4" count="1" selected="0">
            <x v="0"/>
          </reference>
        </references>
      </pivotArea>
    </chartFormat>
    <chartFormat chart="3" format="12" series="1">
      <pivotArea type="data" outline="0" fieldPosition="0">
        <references count="1">
          <reference field="4" count="1" selected="0">
            <x v="1"/>
          </reference>
        </references>
      </pivotArea>
    </chartFormat>
    <chartFormat chart="3" format="13" series="1">
      <pivotArea type="data" outline="0" fieldPosition="0">
        <references count="1">
          <reference field="4" count="1" selected="0">
            <x v="0"/>
          </reference>
        </references>
      </pivotArea>
    </chartFormat>
    <chartFormat chart="3" format="14" series="1">
      <pivotArea type="data" outline="0" fieldPosition="0">
        <references count="2">
          <reference field="4294967294" count="1" selected="0">
            <x v="0"/>
          </reference>
          <reference field="4" count="1" selected="0">
            <x v="0"/>
          </reference>
        </references>
      </pivotArea>
    </chartFormat>
    <chartFormat chart="3" format="15" series="1">
      <pivotArea type="data" outline="0" fieldPosition="0">
        <references count="2">
          <reference field="4294967294" count="1" selected="0">
            <x v="0"/>
          </reference>
          <reference field="4" count="1" selected="0">
            <x v="1"/>
          </reference>
        </references>
      </pivotArea>
    </chartFormat>
    <chartFormat chart="0" format="14" series="1">
      <pivotArea type="data" outline="0" fieldPosition="0">
        <references count="2">
          <reference field="4294967294" count="1" selected="0">
            <x v="0"/>
          </reference>
          <reference field="4" count="1" selected="0">
            <x v="0"/>
          </reference>
        </references>
      </pivotArea>
    </chartFormat>
    <chartFormat chart="0" format="15" series="1">
      <pivotArea type="data" outline="0" fieldPosition="0">
        <references count="2">
          <reference field="4294967294" count="1" selected="0">
            <x v="0"/>
          </reference>
          <reference field="4" count="1" selected="0">
            <x v="1"/>
          </reference>
        </references>
      </pivotArea>
    </chartFormat>
    <chartFormat chart="3" format="16"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F14EAD8-9B55-42A5-8164-2B100DA84DBD}" name="PivotTable1"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23" firstHeaderRow="1" firstDataRow="1" firstDataCol="1"/>
  <pivotFields count="5">
    <pivotField numFmtId="14" showAll="0"/>
    <pivotField dataField="1" showAll="0"/>
    <pivotField axis="axisRow" showAll="0">
      <items count="20">
        <item x="0"/>
        <item x="1"/>
        <item x="2"/>
        <item x="3"/>
        <item x="4"/>
        <item x="5"/>
        <item x="6"/>
        <item x="7"/>
        <item x="8"/>
        <item x="9"/>
        <item x="10"/>
        <item x="11"/>
        <item x="12"/>
        <item x="13"/>
        <item x="14"/>
        <item x="15"/>
        <item x="16"/>
        <item x="17"/>
        <item x="18"/>
        <item t="default"/>
      </items>
    </pivotField>
    <pivotField showAll="0"/>
    <pivotField showAll="0"/>
  </pivotFields>
  <rowFields count="1">
    <field x="2"/>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Sum of Amount" fld="1"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7" connectionId="1" xr16:uid="{4DEF8929-ED36-470C-8CE0-4462E5E5C406}" autoFormatId="16" applyNumberFormats="0" applyBorderFormats="0" applyFontFormats="0" applyPatternFormats="0" applyAlignmentFormats="0" applyWidthHeightFormats="0">
  <queryTableRefresh nextId="7">
    <queryTableFields count="5">
      <queryTableField id="1" name="As Of Date" tableColumnId="1"/>
      <queryTableField id="2" name="Credit Amount" tableColumnId="2"/>
      <queryTableField id="3" name="Sending Company Name" tableColumnId="3"/>
      <queryTableField id="4" name="Recipient Name" tableColumnId="4"/>
      <queryTableField id="6" name="Remittance Type" tableColumnId="6"/>
    </queryTableFields>
    <queryTableDeletedFields count="1">
      <deletedField name="ACH #"/>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9ADD676-9E23-49BC-8835-9181D051D1DA}" sourceName="Department">
  <pivotTables>
    <pivotTable tabId="12" name="PivotTable4"/>
  </pivotTables>
  <data>
    <tabular pivotCacheId="413687770">
      <items count="6">
        <i x="0" s="1"/>
        <i x="4" s="1"/>
        <i x="3" s="1"/>
        <i x="2" s="1"/>
        <i x="1" s="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er" xr10:uid="{6AF42890-3BA9-484B-B6E3-B516660FC320}" sourceName="Payer">
  <pivotTables>
    <pivotTable tabId="12" name="PivotTable4"/>
  </pivotTables>
  <data>
    <tabular pivotCacheId="413687770">
      <items count="19">
        <i x="0" s="1"/>
        <i x="1" s="1"/>
        <i x="2" s="1"/>
        <i x="3" s="1"/>
        <i x="4" s="1"/>
        <i x="5" s="1"/>
        <i x="6" s="1"/>
        <i x="7" s="1"/>
        <i x="8" s="1"/>
        <i x="9" s="1"/>
        <i x="10" s="1"/>
        <i x="11" s="1"/>
        <i x="12" s="1"/>
        <i x="13" s="1"/>
        <i x="14" s="1"/>
        <i x="15" s="1"/>
        <i x="16" s="1"/>
        <i x="17" s="1"/>
        <i x="18"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FD6A3B25-E921-4752-A733-E439DDED8623}" cache="Slicer_Department" caption="Department" rowHeight="257175"/>
  <slicer name="Payer" xr10:uid="{F9D13856-68E6-40B4-9483-0ECB941CCD96}" cache="Slicer_Payer" caption="Payer"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0F1075D-DF99-4429-9825-510EBE81DC55}" name="_12_19___12_31" displayName="_12_19___12_31" ref="A1:E123" tableType="queryTable" totalsRowShown="0">
  <sortState xmlns:xlrd2="http://schemas.microsoft.com/office/spreadsheetml/2017/richdata2" ref="A2:E122">
    <sortCondition ref="C2:C122"/>
    <sortCondition ref="A2:A122"/>
  </sortState>
  <tableColumns count="5">
    <tableColumn id="1" xr3:uid="{258784CF-C3FC-4552-9CE7-BE1B72F3F9D6}" uniqueName="1" name=" Date" queryTableFieldId="1" dataDxfId="3"/>
    <tableColumn id="2" xr3:uid="{D5E32DFC-8D30-4CD7-A3B9-8E012BE038D6}" uniqueName="2" name="Amount" queryTableFieldId="2"/>
    <tableColumn id="3" xr3:uid="{00C273B3-2D35-41DC-BD3D-64044D42A420}" uniqueName="3" name="Payer" queryTableFieldId="3" dataDxfId="2"/>
    <tableColumn id="4" xr3:uid="{0A05EC5A-2599-4FC3-8DDB-7972A6F88BE9}" uniqueName="4" name="Department" queryTableFieldId="4" dataDxfId="1"/>
    <tableColumn id="6" xr3:uid="{371F74D9-5CF5-4AD6-9F37-E7D3361C1D76}" uniqueName="6" name="Remittance Type"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4.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5.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6.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72E6F-3B02-4BC9-838F-D9B7CFB28494}">
  <sheetPr>
    <pageSetUpPr fitToPage="1"/>
  </sheetPr>
  <dimension ref="A1"/>
  <sheetViews>
    <sheetView tabSelected="1" zoomScale="80" zoomScaleNormal="80" workbookViewId="0">
      <selection activeCell="AH12" sqref="AH12"/>
    </sheetView>
  </sheetViews>
  <sheetFormatPr defaultRowHeight="15" x14ac:dyDescent="0.25"/>
  <sheetData/>
  <pageMargins left="0.25" right="0.25" top="0.75" bottom="0.75" header="0.3" footer="0.3"/>
  <pageSetup scale="48"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55B90-27F8-49A3-9DE7-A65B114E73D5}">
  <dimension ref="A3:B10"/>
  <sheetViews>
    <sheetView topLeftCell="A4" workbookViewId="0">
      <selection activeCell="P18" sqref="P18"/>
    </sheetView>
  </sheetViews>
  <sheetFormatPr defaultRowHeight="15" x14ac:dyDescent="0.25"/>
  <cols>
    <col min="1" max="1" width="24.42578125" bestFit="1" customWidth="1"/>
    <col min="2" max="2" width="4" bestFit="1" customWidth="1"/>
  </cols>
  <sheetData>
    <row r="3" spans="1:2" x14ac:dyDescent="0.25">
      <c r="A3" s="2" t="s">
        <v>8</v>
      </c>
      <c r="B3" t="s">
        <v>35</v>
      </c>
    </row>
    <row r="4" spans="1:2" x14ac:dyDescent="0.25">
      <c r="A4" s="3" t="s">
        <v>2</v>
      </c>
      <c r="B4" s="5">
        <v>64</v>
      </c>
    </row>
    <row r="5" spans="1:2" x14ac:dyDescent="0.25">
      <c r="A5" s="3" t="s">
        <v>14</v>
      </c>
      <c r="B5" s="5">
        <v>1</v>
      </c>
    </row>
    <row r="6" spans="1:2" x14ac:dyDescent="0.25">
      <c r="A6" s="3" t="s">
        <v>1</v>
      </c>
      <c r="B6" s="5">
        <v>11</v>
      </c>
    </row>
    <row r="7" spans="1:2" x14ac:dyDescent="0.25">
      <c r="A7" s="3" t="s">
        <v>12</v>
      </c>
      <c r="B7" s="5">
        <v>22</v>
      </c>
    </row>
    <row r="8" spans="1:2" x14ac:dyDescent="0.25">
      <c r="A8" s="3" t="s">
        <v>13</v>
      </c>
      <c r="B8" s="5">
        <v>23</v>
      </c>
    </row>
    <row r="9" spans="1:2" x14ac:dyDescent="0.25">
      <c r="A9" s="3" t="s">
        <v>38</v>
      </c>
      <c r="B9" s="5"/>
    </row>
    <row r="10" spans="1:2" x14ac:dyDescent="0.25">
      <c r="A10" s="3" t="s">
        <v>9</v>
      </c>
      <c r="B10" s="5">
        <v>121</v>
      </c>
    </row>
  </sheetData>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CF61B-CE40-4B83-A4F8-ABA5B44C67D0}">
  <dimension ref="A3:E47"/>
  <sheetViews>
    <sheetView workbookViewId="0">
      <selection activeCell="A3" sqref="A3"/>
    </sheetView>
  </sheetViews>
  <sheetFormatPr defaultRowHeight="15" x14ac:dyDescent="0.25"/>
  <cols>
    <col min="1" max="1" width="28.140625" bestFit="1" customWidth="1"/>
    <col min="2" max="2" width="16.85546875" bestFit="1" customWidth="1"/>
    <col min="3" max="3" width="7.85546875" bestFit="1" customWidth="1"/>
    <col min="4" max="4" width="7.28515625" bestFit="1" customWidth="1"/>
    <col min="5" max="5" width="11.28515625" bestFit="1" customWidth="1"/>
    <col min="6" max="7" width="19.85546875" bestFit="1" customWidth="1"/>
  </cols>
  <sheetData>
    <row r="3" spans="1:5" x14ac:dyDescent="0.25">
      <c r="A3" s="2" t="s">
        <v>34</v>
      </c>
      <c r="B3" s="2" t="s">
        <v>11</v>
      </c>
    </row>
    <row r="4" spans="1:5" x14ac:dyDescent="0.25">
      <c r="A4" s="2" t="s">
        <v>8</v>
      </c>
      <c r="B4" t="s">
        <v>6</v>
      </c>
      <c r="C4" t="s">
        <v>7</v>
      </c>
      <c r="D4" t="s">
        <v>38</v>
      </c>
      <c r="E4" t="s">
        <v>9</v>
      </c>
    </row>
    <row r="5" spans="1:5" x14ac:dyDescent="0.25">
      <c r="A5" s="3" t="s">
        <v>2</v>
      </c>
      <c r="B5" s="5">
        <v>50</v>
      </c>
      <c r="C5" s="5">
        <v>14</v>
      </c>
      <c r="D5" s="5"/>
      <c r="E5" s="5">
        <v>64</v>
      </c>
    </row>
    <row r="6" spans="1:5" x14ac:dyDescent="0.25">
      <c r="A6" s="4" t="s">
        <v>23</v>
      </c>
      <c r="B6" s="5">
        <v>1</v>
      </c>
      <c r="C6" s="5"/>
      <c r="D6" s="5"/>
      <c r="E6" s="5">
        <v>1</v>
      </c>
    </row>
    <row r="7" spans="1:5" x14ac:dyDescent="0.25">
      <c r="A7" s="4" t="s">
        <v>15</v>
      </c>
      <c r="B7" s="5">
        <v>7</v>
      </c>
      <c r="C7" s="5"/>
      <c r="D7" s="5"/>
      <c r="E7" s="5">
        <v>7</v>
      </c>
    </row>
    <row r="8" spans="1:5" x14ac:dyDescent="0.25">
      <c r="A8" s="4" t="s">
        <v>3</v>
      </c>
      <c r="B8" s="5"/>
      <c r="C8" s="5">
        <v>2</v>
      </c>
      <c r="D8" s="5"/>
      <c r="E8" s="5">
        <v>2</v>
      </c>
    </row>
    <row r="9" spans="1:5" x14ac:dyDescent="0.25">
      <c r="A9" s="4" t="s">
        <v>25</v>
      </c>
      <c r="B9" s="5">
        <v>3</v>
      </c>
      <c r="C9" s="5"/>
      <c r="D9" s="5"/>
      <c r="E9" s="5">
        <v>3</v>
      </c>
    </row>
    <row r="10" spans="1:5" x14ac:dyDescent="0.25">
      <c r="A10" s="4" t="s">
        <v>17</v>
      </c>
      <c r="B10" s="5">
        <v>11</v>
      </c>
      <c r="C10" s="5"/>
      <c r="D10" s="5"/>
      <c r="E10" s="5">
        <v>11</v>
      </c>
    </row>
    <row r="11" spans="1:5" x14ac:dyDescent="0.25">
      <c r="A11" s="4" t="s">
        <v>4</v>
      </c>
      <c r="B11" s="5"/>
      <c r="C11" s="5">
        <v>4</v>
      </c>
      <c r="D11" s="5"/>
      <c r="E11" s="5">
        <v>4</v>
      </c>
    </row>
    <row r="12" spans="1:5" x14ac:dyDescent="0.25">
      <c r="A12" s="4" t="s">
        <v>24</v>
      </c>
      <c r="B12" s="5"/>
      <c r="C12" s="5">
        <v>2</v>
      </c>
      <c r="D12" s="5"/>
      <c r="E12" s="5">
        <v>2</v>
      </c>
    </row>
    <row r="13" spans="1:5" x14ac:dyDescent="0.25">
      <c r="A13" s="4" t="s">
        <v>27</v>
      </c>
      <c r="B13" s="5">
        <v>1</v>
      </c>
      <c r="C13" s="5"/>
      <c r="D13" s="5"/>
      <c r="E13" s="5">
        <v>1</v>
      </c>
    </row>
    <row r="14" spans="1:5" x14ac:dyDescent="0.25">
      <c r="A14" s="4" t="s">
        <v>33</v>
      </c>
      <c r="B14" s="5"/>
      <c r="C14" s="5">
        <v>1</v>
      </c>
      <c r="D14" s="5"/>
      <c r="E14" s="5">
        <v>1</v>
      </c>
    </row>
    <row r="15" spans="1:5" x14ac:dyDescent="0.25">
      <c r="A15" s="4" t="s">
        <v>22</v>
      </c>
      <c r="B15" s="5">
        <v>7</v>
      </c>
      <c r="C15" s="5"/>
      <c r="D15" s="5"/>
      <c r="E15" s="5">
        <v>7</v>
      </c>
    </row>
    <row r="16" spans="1:5" x14ac:dyDescent="0.25">
      <c r="A16" s="4" t="s">
        <v>28</v>
      </c>
      <c r="B16" s="5"/>
      <c r="C16" s="5">
        <v>1</v>
      </c>
      <c r="D16" s="5"/>
      <c r="E16" s="5">
        <v>1</v>
      </c>
    </row>
    <row r="17" spans="1:5" x14ac:dyDescent="0.25">
      <c r="A17" s="4" t="s">
        <v>18</v>
      </c>
      <c r="B17" s="5">
        <v>6</v>
      </c>
      <c r="C17" s="5"/>
      <c r="D17" s="5"/>
      <c r="E17" s="5">
        <v>6</v>
      </c>
    </row>
    <row r="18" spans="1:5" x14ac:dyDescent="0.25">
      <c r="A18" s="4" t="s">
        <v>21</v>
      </c>
      <c r="B18" s="5"/>
      <c r="C18" s="5">
        <v>1</v>
      </c>
      <c r="D18" s="5"/>
      <c r="E18" s="5">
        <v>1</v>
      </c>
    </row>
    <row r="19" spans="1:5" x14ac:dyDescent="0.25">
      <c r="A19" s="4" t="s">
        <v>20</v>
      </c>
      <c r="B19" s="5">
        <v>14</v>
      </c>
      <c r="C19" s="5"/>
      <c r="D19" s="5"/>
      <c r="E19" s="5">
        <v>14</v>
      </c>
    </row>
    <row r="20" spans="1:5" x14ac:dyDescent="0.25">
      <c r="A20" s="4" t="s">
        <v>5</v>
      </c>
      <c r="B20" s="5"/>
      <c r="C20" s="5">
        <v>1</v>
      </c>
      <c r="D20" s="5"/>
      <c r="E20" s="5">
        <v>1</v>
      </c>
    </row>
    <row r="21" spans="1:5" x14ac:dyDescent="0.25">
      <c r="A21" s="4" t="s">
        <v>26</v>
      </c>
      <c r="B21" s="5"/>
      <c r="C21" s="5">
        <v>2</v>
      </c>
      <c r="D21" s="5"/>
      <c r="E21" s="5">
        <v>2</v>
      </c>
    </row>
    <row r="22" spans="1:5" x14ac:dyDescent="0.25">
      <c r="A22" s="3" t="s">
        <v>14</v>
      </c>
      <c r="B22" s="5"/>
      <c r="C22" s="5">
        <v>1</v>
      </c>
      <c r="D22" s="5"/>
      <c r="E22" s="5">
        <v>1</v>
      </c>
    </row>
    <row r="23" spans="1:5" x14ac:dyDescent="0.25">
      <c r="A23" s="4" t="s">
        <v>20</v>
      </c>
      <c r="B23" s="5"/>
      <c r="C23" s="5">
        <v>1</v>
      </c>
      <c r="D23" s="5"/>
      <c r="E23" s="5">
        <v>1</v>
      </c>
    </row>
    <row r="24" spans="1:5" x14ac:dyDescent="0.25">
      <c r="A24" s="3" t="s">
        <v>1</v>
      </c>
      <c r="B24" s="5">
        <v>7</v>
      </c>
      <c r="C24" s="5">
        <v>4</v>
      </c>
      <c r="D24" s="5"/>
      <c r="E24" s="5">
        <v>11</v>
      </c>
    </row>
    <row r="25" spans="1:5" x14ac:dyDescent="0.25">
      <c r="A25" s="4" t="s">
        <v>25</v>
      </c>
      <c r="B25" s="5">
        <v>3</v>
      </c>
      <c r="C25" s="5"/>
      <c r="D25" s="5"/>
      <c r="E25" s="5">
        <v>3</v>
      </c>
    </row>
    <row r="26" spans="1:5" x14ac:dyDescent="0.25">
      <c r="A26" s="4" t="s">
        <v>17</v>
      </c>
      <c r="B26" s="5">
        <v>4</v>
      </c>
      <c r="C26" s="5"/>
      <c r="D26" s="5"/>
      <c r="E26" s="5">
        <v>4</v>
      </c>
    </row>
    <row r="27" spans="1:5" x14ac:dyDescent="0.25">
      <c r="A27" s="4" t="s">
        <v>24</v>
      </c>
      <c r="B27" s="5"/>
      <c r="C27" s="5">
        <v>1</v>
      </c>
      <c r="D27" s="5"/>
      <c r="E27" s="5">
        <v>1</v>
      </c>
    </row>
    <row r="28" spans="1:5" x14ac:dyDescent="0.25">
      <c r="A28" s="4" t="s">
        <v>20</v>
      </c>
      <c r="B28" s="5"/>
      <c r="C28" s="5">
        <v>2</v>
      </c>
      <c r="D28" s="5"/>
      <c r="E28" s="5">
        <v>2</v>
      </c>
    </row>
    <row r="29" spans="1:5" x14ac:dyDescent="0.25">
      <c r="A29" s="4" t="s">
        <v>19</v>
      </c>
      <c r="B29" s="5"/>
      <c r="C29" s="5">
        <v>1</v>
      </c>
      <c r="D29" s="5"/>
      <c r="E29" s="5">
        <v>1</v>
      </c>
    </row>
    <row r="30" spans="1:5" x14ac:dyDescent="0.25">
      <c r="A30" s="3" t="s">
        <v>12</v>
      </c>
      <c r="B30" s="5">
        <v>16</v>
      </c>
      <c r="C30" s="5">
        <v>6</v>
      </c>
      <c r="D30" s="5"/>
      <c r="E30" s="5">
        <v>22</v>
      </c>
    </row>
    <row r="31" spans="1:5" x14ac:dyDescent="0.25">
      <c r="A31" s="4" t="s">
        <v>25</v>
      </c>
      <c r="B31" s="5">
        <v>4</v>
      </c>
      <c r="C31" s="5"/>
      <c r="D31" s="5"/>
      <c r="E31" s="5">
        <v>4</v>
      </c>
    </row>
    <row r="32" spans="1:5" x14ac:dyDescent="0.25">
      <c r="A32" s="4" t="s">
        <v>17</v>
      </c>
      <c r="B32" s="5">
        <v>8</v>
      </c>
      <c r="C32" s="5"/>
      <c r="D32" s="5"/>
      <c r="E32" s="5">
        <v>8</v>
      </c>
    </row>
    <row r="33" spans="1:5" x14ac:dyDescent="0.25">
      <c r="A33" s="4" t="s">
        <v>24</v>
      </c>
      <c r="B33" s="5"/>
      <c r="C33" s="5">
        <v>3</v>
      </c>
      <c r="D33" s="5"/>
      <c r="E33" s="5">
        <v>3</v>
      </c>
    </row>
    <row r="34" spans="1:5" x14ac:dyDescent="0.25">
      <c r="A34" s="4" t="s">
        <v>18</v>
      </c>
      <c r="B34" s="5">
        <v>4</v>
      </c>
      <c r="C34" s="5"/>
      <c r="D34" s="5"/>
      <c r="E34" s="5">
        <v>4</v>
      </c>
    </row>
    <row r="35" spans="1:5" x14ac:dyDescent="0.25">
      <c r="A35" s="4" t="s">
        <v>21</v>
      </c>
      <c r="B35" s="5"/>
      <c r="C35" s="5">
        <v>2</v>
      </c>
      <c r="D35" s="5"/>
      <c r="E35" s="5">
        <v>2</v>
      </c>
    </row>
    <row r="36" spans="1:5" x14ac:dyDescent="0.25">
      <c r="A36" s="4" t="s">
        <v>26</v>
      </c>
      <c r="B36" s="5"/>
      <c r="C36" s="5">
        <v>1</v>
      </c>
      <c r="D36" s="5"/>
      <c r="E36" s="5">
        <v>1</v>
      </c>
    </row>
    <row r="37" spans="1:5" x14ac:dyDescent="0.25">
      <c r="A37" s="3" t="s">
        <v>13</v>
      </c>
      <c r="B37" s="5">
        <v>23</v>
      </c>
      <c r="C37" s="5"/>
      <c r="D37" s="5"/>
      <c r="E37" s="5">
        <v>23</v>
      </c>
    </row>
    <row r="38" spans="1:5" x14ac:dyDescent="0.25">
      <c r="A38" s="4" t="s">
        <v>15</v>
      </c>
      <c r="B38" s="5">
        <v>5</v>
      </c>
      <c r="C38" s="5"/>
      <c r="D38" s="5"/>
      <c r="E38" s="5">
        <v>5</v>
      </c>
    </row>
    <row r="39" spans="1:5" x14ac:dyDescent="0.25">
      <c r="A39" s="4" t="s">
        <v>24</v>
      </c>
      <c r="B39" s="5">
        <v>2</v>
      </c>
      <c r="C39" s="5"/>
      <c r="D39" s="5"/>
      <c r="E39" s="5">
        <v>2</v>
      </c>
    </row>
    <row r="40" spans="1:5" x14ac:dyDescent="0.25">
      <c r="A40" s="4" t="s">
        <v>16</v>
      </c>
      <c r="B40" s="5">
        <v>4</v>
      </c>
      <c r="C40" s="5"/>
      <c r="D40" s="5"/>
      <c r="E40" s="5">
        <v>4</v>
      </c>
    </row>
    <row r="41" spans="1:5" x14ac:dyDescent="0.25">
      <c r="A41" s="4" t="s">
        <v>21</v>
      </c>
      <c r="B41" s="5">
        <v>1</v>
      </c>
      <c r="C41" s="5"/>
      <c r="D41" s="5"/>
      <c r="E41" s="5">
        <v>1</v>
      </c>
    </row>
    <row r="42" spans="1:5" x14ac:dyDescent="0.25">
      <c r="A42" s="4" t="s">
        <v>20</v>
      </c>
      <c r="B42" s="5">
        <v>7</v>
      </c>
      <c r="C42" s="5"/>
      <c r="D42" s="5"/>
      <c r="E42" s="5">
        <v>7</v>
      </c>
    </row>
    <row r="43" spans="1:5" x14ac:dyDescent="0.25">
      <c r="A43" s="4" t="s">
        <v>19</v>
      </c>
      <c r="B43" s="5">
        <v>3</v>
      </c>
      <c r="C43" s="5"/>
      <c r="D43" s="5"/>
      <c r="E43" s="5">
        <v>3</v>
      </c>
    </row>
    <row r="44" spans="1:5" x14ac:dyDescent="0.25">
      <c r="A44" s="4" t="s">
        <v>26</v>
      </c>
      <c r="B44" s="5">
        <v>1</v>
      </c>
      <c r="C44" s="5"/>
      <c r="D44" s="5"/>
      <c r="E44" s="5">
        <v>1</v>
      </c>
    </row>
    <row r="45" spans="1:5" x14ac:dyDescent="0.25">
      <c r="A45" s="3" t="s">
        <v>38</v>
      </c>
      <c r="B45" s="5"/>
      <c r="C45" s="5"/>
      <c r="D45" s="5"/>
      <c r="E45" s="5"/>
    </row>
    <row r="46" spans="1:5" x14ac:dyDescent="0.25">
      <c r="A46" s="4" t="s">
        <v>38</v>
      </c>
      <c r="B46" s="5"/>
      <c r="C46" s="5"/>
      <c r="D46" s="5"/>
      <c r="E46" s="5"/>
    </row>
    <row r="47" spans="1:5" x14ac:dyDescent="0.25">
      <c r="A47" s="3" t="s">
        <v>9</v>
      </c>
      <c r="B47" s="5">
        <v>96</v>
      </c>
      <c r="C47" s="5">
        <v>25</v>
      </c>
      <c r="D47" s="5"/>
      <c r="E47" s="5">
        <v>121</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241D4-5758-41F1-9CF4-E108768F3F46}">
  <dimension ref="A3:H24"/>
  <sheetViews>
    <sheetView topLeftCell="A4" workbookViewId="0">
      <selection activeCell="K30" sqref="K30"/>
    </sheetView>
  </sheetViews>
  <sheetFormatPr defaultRowHeight="15" x14ac:dyDescent="0.25"/>
  <cols>
    <col min="1" max="1" width="16.5703125" bestFit="1" customWidth="1"/>
    <col min="2" max="2" width="25.5703125" bestFit="1" customWidth="1"/>
    <col min="3" max="3" width="8" bestFit="1" customWidth="1"/>
    <col min="4" max="4" width="26.28515625" bestFit="1" customWidth="1"/>
    <col min="5" max="5" width="19.28515625" bestFit="1" customWidth="1"/>
    <col min="6" max="6" width="24.5703125" bestFit="1" customWidth="1"/>
    <col min="7" max="7" width="7.28515625" bestFit="1" customWidth="1"/>
    <col min="8" max="8" width="11.28515625" bestFit="1" customWidth="1"/>
    <col min="9" max="9" width="7.42578125" bestFit="1" customWidth="1"/>
    <col min="10" max="10" width="6.5703125" bestFit="1" customWidth="1"/>
    <col min="11" max="11" width="9" bestFit="1" customWidth="1"/>
    <col min="12" max="12" width="9.42578125" bestFit="1" customWidth="1"/>
    <col min="13" max="13" width="9.85546875" bestFit="1" customWidth="1"/>
    <col min="14" max="14" width="11.140625" bestFit="1" customWidth="1"/>
    <col min="15" max="15" width="9.7109375" bestFit="1" customWidth="1"/>
    <col min="16" max="16" width="5.5703125" bestFit="1" customWidth="1"/>
    <col min="17" max="17" width="15.85546875" bestFit="1" customWidth="1"/>
    <col min="18" max="18" width="5.5703125" bestFit="1" customWidth="1"/>
    <col min="19" max="19" width="11.42578125" bestFit="1" customWidth="1"/>
    <col min="20" max="20" width="11.28515625" bestFit="1" customWidth="1"/>
  </cols>
  <sheetData>
    <row r="3" spans="1:8" x14ac:dyDescent="0.25">
      <c r="A3" s="2" t="s">
        <v>32</v>
      </c>
      <c r="B3" s="2" t="s">
        <v>11</v>
      </c>
    </row>
    <row r="4" spans="1:8" x14ac:dyDescent="0.25">
      <c r="A4" s="2" t="s">
        <v>8</v>
      </c>
      <c r="B4" t="s">
        <v>2</v>
      </c>
      <c r="C4" t="s">
        <v>14</v>
      </c>
      <c r="D4" t="s">
        <v>1</v>
      </c>
      <c r="E4" t="s">
        <v>12</v>
      </c>
      <c r="F4" t="s">
        <v>13</v>
      </c>
      <c r="G4" t="s">
        <v>38</v>
      </c>
      <c r="H4" t="s">
        <v>9</v>
      </c>
    </row>
    <row r="5" spans="1:8" x14ac:dyDescent="0.25">
      <c r="A5" s="3" t="s">
        <v>23</v>
      </c>
      <c r="B5" s="5">
        <v>1</v>
      </c>
      <c r="C5" s="5"/>
      <c r="D5" s="5"/>
      <c r="E5" s="5"/>
      <c r="F5" s="5"/>
      <c r="G5" s="5"/>
      <c r="H5" s="5">
        <v>1</v>
      </c>
    </row>
    <row r="6" spans="1:8" x14ac:dyDescent="0.25">
      <c r="A6" s="3" t="s">
        <v>15</v>
      </c>
      <c r="B6" s="5">
        <v>7</v>
      </c>
      <c r="C6" s="5"/>
      <c r="D6" s="5"/>
      <c r="E6" s="5"/>
      <c r="F6" s="5">
        <v>5</v>
      </c>
      <c r="G6" s="5"/>
      <c r="H6" s="5">
        <v>12</v>
      </c>
    </row>
    <row r="7" spans="1:8" x14ac:dyDescent="0.25">
      <c r="A7" s="3" t="s">
        <v>3</v>
      </c>
      <c r="B7" s="5">
        <v>2</v>
      </c>
      <c r="C7" s="5"/>
      <c r="D7" s="5"/>
      <c r="E7" s="5"/>
      <c r="F7" s="5"/>
      <c r="G7" s="5"/>
      <c r="H7" s="5">
        <v>2</v>
      </c>
    </row>
    <row r="8" spans="1:8" x14ac:dyDescent="0.25">
      <c r="A8" s="3" t="s">
        <v>25</v>
      </c>
      <c r="B8" s="5">
        <v>3</v>
      </c>
      <c r="C8" s="5"/>
      <c r="D8" s="5">
        <v>3</v>
      </c>
      <c r="E8" s="5">
        <v>4</v>
      </c>
      <c r="F8" s="5"/>
      <c r="G8" s="5"/>
      <c r="H8" s="5">
        <v>10</v>
      </c>
    </row>
    <row r="9" spans="1:8" x14ac:dyDescent="0.25">
      <c r="A9" s="3" t="s">
        <v>17</v>
      </c>
      <c r="B9" s="5">
        <v>11</v>
      </c>
      <c r="C9" s="5"/>
      <c r="D9" s="5">
        <v>4</v>
      </c>
      <c r="E9" s="5">
        <v>8</v>
      </c>
      <c r="F9" s="5"/>
      <c r="G9" s="5"/>
      <c r="H9" s="5">
        <v>23</v>
      </c>
    </row>
    <row r="10" spans="1:8" x14ac:dyDescent="0.25">
      <c r="A10" s="3" t="s">
        <v>4</v>
      </c>
      <c r="B10" s="5">
        <v>4</v>
      </c>
      <c r="C10" s="5"/>
      <c r="D10" s="5"/>
      <c r="E10" s="5"/>
      <c r="F10" s="5"/>
      <c r="G10" s="5"/>
      <c r="H10" s="5">
        <v>4</v>
      </c>
    </row>
    <row r="11" spans="1:8" x14ac:dyDescent="0.25">
      <c r="A11" s="3" t="s">
        <v>24</v>
      </c>
      <c r="B11" s="5">
        <v>2</v>
      </c>
      <c r="C11" s="5"/>
      <c r="D11" s="5">
        <v>1</v>
      </c>
      <c r="E11" s="5">
        <v>3</v>
      </c>
      <c r="F11" s="5">
        <v>2</v>
      </c>
      <c r="G11" s="5"/>
      <c r="H11" s="5">
        <v>8</v>
      </c>
    </row>
    <row r="12" spans="1:8" x14ac:dyDescent="0.25">
      <c r="A12" s="3" t="s">
        <v>16</v>
      </c>
      <c r="B12" s="5"/>
      <c r="C12" s="5"/>
      <c r="D12" s="5"/>
      <c r="E12" s="5"/>
      <c r="F12" s="5">
        <v>4</v>
      </c>
      <c r="G12" s="5"/>
      <c r="H12" s="5">
        <v>4</v>
      </c>
    </row>
    <row r="13" spans="1:8" x14ac:dyDescent="0.25">
      <c r="A13" s="3" t="s">
        <v>27</v>
      </c>
      <c r="B13" s="5">
        <v>1</v>
      </c>
      <c r="C13" s="5"/>
      <c r="D13" s="5"/>
      <c r="E13" s="5"/>
      <c r="F13" s="5"/>
      <c r="G13" s="5"/>
      <c r="H13" s="5">
        <v>1</v>
      </c>
    </row>
    <row r="14" spans="1:8" x14ac:dyDescent="0.25">
      <c r="A14" s="3" t="s">
        <v>33</v>
      </c>
      <c r="B14" s="5">
        <v>1</v>
      </c>
      <c r="C14" s="5"/>
      <c r="D14" s="5"/>
      <c r="E14" s="5"/>
      <c r="F14" s="5"/>
      <c r="G14" s="5"/>
      <c r="H14" s="5">
        <v>1</v>
      </c>
    </row>
    <row r="15" spans="1:8" x14ac:dyDescent="0.25">
      <c r="A15" s="3" t="s">
        <v>22</v>
      </c>
      <c r="B15" s="5">
        <v>7</v>
      </c>
      <c r="C15" s="5"/>
      <c r="D15" s="5"/>
      <c r="E15" s="5"/>
      <c r="F15" s="5"/>
      <c r="G15" s="5"/>
      <c r="H15" s="5">
        <v>7</v>
      </c>
    </row>
    <row r="16" spans="1:8" x14ac:dyDescent="0.25">
      <c r="A16" s="3" t="s">
        <v>28</v>
      </c>
      <c r="B16" s="5">
        <v>1</v>
      </c>
      <c r="C16" s="5"/>
      <c r="D16" s="5"/>
      <c r="E16" s="5"/>
      <c r="F16" s="5"/>
      <c r="G16" s="5"/>
      <c r="H16" s="5">
        <v>1</v>
      </c>
    </row>
    <row r="17" spans="1:8" x14ac:dyDescent="0.25">
      <c r="A17" s="3" t="s">
        <v>18</v>
      </c>
      <c r="B17" s="5">
        <v>6</v>
      </c>
      <c r="C17" s="5"/>
      <c r="D17" s="5"/>
      <c r="E17" s="5">
        <v>4</v>
      </c>
      <c r="F17" s="5"/>
      <c r="G17" s="5"/>
      <c r="H17" s="5">
        <v>10</v>
      </c>
    </row>
    <row r="18" spans="1:8" x14ac:dyDescent="0.25">
      <c r="A18" s="3" t="s">
        <v>21</v>
      </c>
      <c r="B18" s="5">
        <v>1</v>
      </c>
      <c r="C18" s="5"/>
      <c r="D18" s="5"/>
      <c r="E18" s="5">
        <v>2</v>
      </c>
      <c r="F18" s="5">
        <v>1</v>
      </c>
      <c r="G18" s="5"/>
      <c r="H18" s="5">
        <v>4</v>
      </c>
    </row>
    <row r="19" spans="1:8" x14ac:dyDescent="0.25">
      <c r="A19" s="3" t="s">
        <v>20</v>
      </c>
      <c r="B19" s="5">
        <v>14</v>
      </c>
      <c r="C19" s="5">
        <v>1</v>
      </c>
      <c r="D19" s="5">
        <v>2</v>
      </c>
      <c r="E19" s="5"/>
      <c r="F19" s="5">
        <v>7</v>
      </c>
      <c r="G19" s="5"/>
      <c r="H19" s="5">
        <v>24</v>
      </c>
    </row>
    <row r="20" spans="1:8" x14ac:dyDescent="0.25">
      <c r="A20" s="3" t="s">
        <v>5</v>
      </c>
      <c r="B20" s="5">
        <v>1</v>
      </c>
      <c r="C20" s="5"/>
      <c r="D20" s="5"/>
      <c r="E20" s="5"/>
      <c r="F20" s="5"/>
      <c r="G20" s="5"/>
      <c r="H20" s="5">
        <v>1</v>
      </c>
    </row>
    <row r="21" spans="1:8" x14ac:dyDescent="0.25">
      <c r="A21" s="3" t="s">
        <v>19</v>
      </c>
      <c r="B21" s="5"/>
      <c r="C21" s="5"/>
      <c r="D21" s="5">
        <v>1</v>
      </c>
      <c r="E21" s="5"/>
      <c r="F21" s="5">
        <v>3</v>
      </c>
      <c r="G21" s="5"/>
      <c r="H21" s="5">
        <v>4</v>
      </c>
    </row>
    <row r="22" spans="1:8" x14ac:dyDescent="0.25">
      <c r="A22" s="3" t="s">
        <v>26</v>
      </c>
      <c r="B22" s="5">
        <v>2</v>
      </c>
      <c r="C22" s="5"/>
      <c r="D22" s="5"/>
      <c r="E22" s="5">
        <v>1</v>
      </c>
      <c r="F22" s="5">
        <v>1</v>
      </c>
      <c r="G22" s="5"/>
      <c r="H22" s="5">
        <v>4</v>
      </c>
    </row>
    <row r="23" spans="1:8" x14ac:dyDescent="0.25">
      <c r="A23" s="3" t="s">
        <v>38</v>
      </c>
      <c r="B23" s="5"/>
      <c r="C23" s="5"/>
      <c r="D23" s="5"/>
      <c r="E23" s="5"/>
      <c r="F23" s="5"/>
      <c r="G23" s="5"/>
      <c r="H23" s="5"/>
    </row>
    <row r="24" spans="1:8" x14ac:dyDescent="0.25">
      <c r="A24" s="3" t="s">
        <v>9</v>
      </c>
      <c r="B24" s="5">
        <v>64</v>
      </c>
      <c r="C24" s="5">
        <v>1</v>
      </c>
      <c r="D24" s="5">
        <v>11</v>
      </c>
      <c r="E24" s="5">
        <v>22</v>
      </c>
      <c r="F24" s="5">
        <v>23</v>
      </c>
      <c r="G24" s="5"/>
      <c r="H24" s="5">
        <v>121</v>
      </c>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82CD4-E14B-40BB-98B3-8C102823F6BA}">
  <dimension ref="A3:E11"/>
  <sheetViews>
    <sheetView workbookViewId="0">
      <selection activeCell="Q21" sqref="Q21"/>
    </sheetView>
  </sheetViews>
  <sheetFormatPr defaultRowHeight="15" x14ac:dyDescent="0.25"/>
  <cols>
    <col min="1" max="1" width="24.85546875" bestFit="1" customWidth="1"/>
    <col min="2" max="2" width="16.85546875" bestFit="1" customWidth="1"/>
    <col min="3" max="3" width="7.85546875" bestFit="1" customWidth="1"/>
    <col min="4" max="4" width="7.28515625" bestFit="1" customWidth="1"/>
    <col min="5" max="5" width="11.28515625" bestFit="1" customWidth="1"/>
  </cols>
  <sheetData>
    <row r="3" spans="1:5" x14ac:dyDescent="0.25">
      <c r="A3" s="2" t="s">
        <v>10</v>
      </c>
      <c r="B3" s="2" t="s">
        <v>11</v>
      </c>
    </row>
    <row r="4" spans="1:5" x14ac:dyDescent="0.25">
      <c r="A4" s="2" t="s">
        <v>8</v>
      </c>
      <c r="B4" t="s">
        <v>6</v>
      </c>
      <c r="C4" t="s">
        <v>7</v>
      </c>
      <c r="D4" t="s">
        <v>38</v>
      </c>
      <c r="E4" t="s">
        <v>9</v>
      </c>
    </row>
    <row r="5" spans="1:5" x14ac:dyDescent="0.25">
      <c r="A5" s="3" t="s">
        <v>2</v>
      </c>
      <c r="B5" s="5">
        <v>50</v>
      </c>
      <c r="C5" s="5">
        <v>14</v>
      </c>
      <c r="D5" s="5"/>
      <c r="E5" s="5">
        <v>64</v>
      </c>
    </row>
    <row r="6" spans="1:5" x14ac:dyDescent="0.25">
      <c r="A6" s="3" t="s">
        <v>14</v>
      </c>
      <c r="B6" s="5"/>
      <c r="C6" s="5">
        <v>1</v>
      </c>
      <c r="D6" s="5"/>
      <c r="E6" s="5">
        <v>1</v>
      </c>
    </row>
    <row r="7" spans="1:5" x14ac:dyDescent="0.25">
      <c r="A7" s="3" t="s">
        <v>1</v>
      </c>
      <c r="B7" s="5">
        <v>7</v>
      </c>
      <c r="C7" s="5">
        <v>4</v>
      </c>
      <c r="D7" s="5"/>
      <c r="E7" s="5">
        <v>11</v>
      </c>
    </row>
    <row r="8" spans="1:5" x14ac:dyDescent="0.25">
      <c r="A8" s="3" t="s">
        <v>12</v>
      </c>
      <c r="B8" s="5">
        <v>16</v>
      </c>
      <c r="C8" s="5">
        <v>6</v>
      </c>
      <c r="D8" s="5"/>
      <c r="E8" s="5">
        <v>22</v>
      </c>
    </row>
    <row r="9" spans="1:5" x14ac:dyDescent="0.25">
      <c r="A9" s="3" t="s">
        <v>13</v>
      </c>
      <c r="B9" s="5">
        <v>23</v>
      </c>
      <c r="C9" s="5"/>
      <c r="D9" s="5"/>
      <c r="E9" s="5">
        <v>23</v>
      </c>
    </row>
    <row r="10" spans="1:5" x14ac:dyDescent="0.25">
      <c r="A10" s="3" t="s">
        <v>38</v>
      </c>
      <c r="B10" s="5"/>
      <c r="C10" s="5"/>
      <c r="D10" s="5"/>
      <c r="E10" s="5"/>
    </row>
    <row r="11" spans="1:5" x14ac:dyDescent="0.25">
      <c r="A11" s="3" t="s">
        <v>9</v>
      </c>
      <c r="B11" s="5">
        <v>96</v>
      </c>
      <c r="C11" s="5">
        <v>25</v>
      </c>
      <c r="D11" s="5"/>
      <c r="E11" s="5">
        <v>121</v>
      </c>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FD06F-CB17-4AF1-A5ED-C537C5BA995C}">
  <dimension ref="A3:B23"/>
  <sheetViews>
    <sheetView workbookViewId="0">
      <selection activeCell="A3" sqref="A3:B22"/>
    </sheetView>
  </sheetViews>
  <sheetFormatPr defaultRowHeight="15" x14ac:dyDescent="0.25"/>
  <cols>
    <col min="1" max="1" width="16.5703125" bestFit="1" customWidth="1"/>
    <col min="2" max="2" width="14.85546875" bestFit="1" customWidth="1"/>
  </cols>
  <sheetData>
    <row r="3" spans="1:2" x14ac:dyDescent="0.25">
      <c r="A3" s="2" t="s">
        <v>8</v>
      </c>
      <c r="B3" t="s">
        <v>37</v>
      </c>
    </row>
    <row r="4" spans="1:2" x14ac:dyDescent="0.25">
      <c r="A4" s="3" t="s">
        <v>23</v>
      </c>
      <c r="B4" s="5">
        <v>8728</v>
      </c>
    </row>
    <row r="5" spans="1:2" x14ac:dyDescent="0.25">
      <c r="A5" s="3" t="s">
        <v>15</v>
      </c>
      <c r="B5" s="5">
        <v>145427</v>
      </c>
    </row>
    <row r="6" spans="1:2" x14ac:dyDescent="0.25">
      <c r="A6" s="3" t="s">
        <v>3</v>
      </c>
      <c r="B6" s="5">
        <v>11570</v>
      </c>
    </row>
    <row r="7" spans="1:2" x14ac:dyDescent="0.25">
      <c r="A7" s="3" t="s">
        <v>25</v>
      </c>
      <c r="B7" s="5">
        <v>135150</v>
      </c>
    </row>
    <row r="8" spans="1:2" x14ac:dyDescent="0.25">
      <c r="A8" s="3" t="s">
        <v>17</v>
      </c>
      <c r="B8" s="5">
        <v>352582</v>
      </c>
    </row>
    <row r="9" spans="1:2" x14ac:dyDescent="0.25">
      <c r="A9" s="3" t="s">
        <v>4</v>
      </c>
      <c r="B9" s="5">
        <v>44840</v>
      </c>
    </row>
    <row r="10" spans="1:2" x14ac:dyDescent="0.25">
      <c r="A10" s="3" t="s">
        <v>24</v>
      </c>
      <c r="B10" s="5">
        <v>115592</v>
      </c>
    </row>
    <row r="11" spans="1:2" x14ac:dyDescent="0.25">
      <c r="A11" s="3" t="s">
        <v>16</v>
      </c>
      <c r="B11" s="5">
        <v>77189</v>
      </c>
    </row>
    <row r="12" spans="1:2" x14ac:dyDescent="0.25">
      <c r="A12" s="3" t="s">
        <v>27</v>
      </c>
      <c r="B12" s="5">
        <v>14620</v>
      </c>
    </row>
    <row r="13" spans="1:2" x14ac:dyDescent="0.25">
      <c r="A13" s="3" t="s">
        <v>33</v>
      </c>
      <c r="B13" s="5">
        <v>20388</v>
      </c>
    </row>
    <row r="14" spans="1:2" x14ac:dyDescent="0.25">
      <c r="A14" s="3" t="s">
        <v>22</v>
      </c>
      <c r="B14" s="5">
        <v>70799</v>
      </c>
    </row>
    <row r="15" spans="1:2" x14ac:dyDescent="0.25">
      <c r="A15" s="3" t="s">
        <v>28</v>
      </c>
      <c r="B15" s="5">
        <v>9783</v>
      </c>
    </row>
    <row r="16" spans="1:2" x14ac:dyDescent="0.25">
      <c r="A16" s="3" t="s">
        <v>18</v>
      </c>
      <c r="B16" s="5">
        <v>128599</v>
      </c>
    </row>
    <row r="17" spans="1:2" x14ac:dyDescent="0.25">
      <c r="A17" s="3" t="s">
        <v>21</v>
      </c>
      <c r="B17" s="5">
        <v>48099</v>
      </c>
    </row>
    <row r="18" spans="1:2" x14ac:dyDescent="0.25">
      <c r="A18" s="3" t="s">
        <v>20</v>
      </c>
      <c r="B18" s="5">
        <v>274913</v>
      </c>
    </row>
    <row r="19" spans="1:2" x14ac:dyDescent="0.25">
      <c r="A19" s="3" t="s">
        <v>5</v>
      </c>
      <c r="B19" s="5">
        <v>20379</v>
      </c>
    </row>
    <row r="20" spans="1:2" x14ac:dyDescent="0.25">
      <c r="A20" s="3" t="s">
        <v>19</v>
      </c>
      <c r="B20" s="5">
        <v>46826</v>
      </c>
    </row>
    <row r="21" spans="1:2" x14ac:dyDescent="0.25">
      <c r="A21" s="3" t="s">
        <v>26</v>
      </c>
      <c r="B21" s="5">
        <v>44598</v>
      </c>
    </row>
    <row r="22" spans="1:2" x14ac:dyDescent="0.25">
      <c r="A22" s="3" t="s">
        <v>38</v>
      </c>
      <c r="B22" s="5"/>
    </row>
    <row r="23" spans="1:2" x14ac:dyDescent="0.25">
      <c r="A23" s="3" t="s">
        <v>9</v>
      </c>
      <c r="B23" s="5">
        <v>1570082</v>
      </c>
    </row>
  </sheetData>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3CA20-C842-4BF8-AE0E-43ADEF7D00E6}">
  <dimension ref="A1:E123"/>
  <sheetViews>
    <sheetView topLeftCell="A19" zoomScaleNormal="100" workbookViewId="0">
      <selection activeCell="I11" sqref="I11"/>
    </sheetView>
  </sheetViews>
  <sheetFormatPr defaultRowHeight="15" x14ac:dyDescent="0.25"/>
  <cols>
    <col min="1" max="1" width="12.7109375" bestFit="1" customWidth="1"/>
    <col min="2" max="2" width="16.5703125" bestFit="1" customWidth="1"/>
    <col min="3" max="3" width="25.7109375" bestFit="1" customWidth="1"/>
    <col min="4" max="4" width="24.7109375" bestFit="1" customWidth="1"/>
    <col min="5" max="5" width="27.140625" bestFit="1" customWidth="1"/>
    <col min="6" max="6" width="18.5703125" bestFit="1" customWidth="1"/>
  </cols>
  <sheetData>
    <row r="1" spans="1:5" x14ac:dyDescent="0.25">
      <c r="A1" t="s">
        <v>30</v>
      </c>
      <c r="B1" t="s">
        <v>29</v>
      </c>
      <c r="C1" t="s">
        <v>36</v>
      </c>
      <c r="D1" t="s">
        <v>31</v>
      </c>
      <c r="E1" t="s">
        <v>0</v>
      </c>
    </row>
    <row r="2" spans="1:5" x14ac:dyDescent="0.25">
      <c r="A2" s="1">
        <v>46021</v>
      </c>
      <c r="B2">
        <f ca="1">RANDBETWEEN(10,25000)</f>
        <v>4935</v>
      </c>
      <c r="C2" t="s">
        <v>23</v>
      </c>
      <c r="D2" t="s">
        <v>2</v>
      </c>
      <c r="E2" t="s">
        <v>6</v>
      </c>
    </row>
    <row r="3" spans="1:5" x14ac:dyDescent="0.25">
      <c r="A3" s="1">
        <v>46013</v>
      </c>
      <c r="B3">
        <f t="shared" ref="B3:B66" ca="1" si="0">RANDBETWEEN(10,25000)</f>
        <v>14289</v>
      </c>
      <c r="C3" t="s">
        <v>15</v>
      </c>
      <c r="D3" t="s">
        <v>2</v>
      </c>
      <c r="E3" t="s">
        <v>6</v>
      </c>
    </row>
    <row r="4" spans="1:5" x14ac:dyDescent="0.25">
      <c r="A4" s="1">
        <v>46014</v>
      </c>
      <c r="B4">
        <f t="shared" ca="1" si="0"/>
        <v>7892</v>
      </c>
      <c r="C4" t="s">
        <v>15</v>
      </c>
      <c r="D4" t="s">
        <v>13</v>
      </c>
      <c r="E4" t="s">
        <v>6</v>
      </c>
    </row>
    <row r="5" spans="1:5" x14ac:dyDescent="0.25">
      <c r="A5" s="1">
        <v>46014</v>
      </c>
      <c r="B5">
        <f t="shared" ca="1" si="0"/>
        <v>5585</v>
      </c>
      <c r="C5" t="s">
        <v>15</v>
      </c>
      <c r="D5" t="s">
        <v>2</v>
      </c>
      <c r="E5" t="s">
        <v>6</v>
      </c>
    </row>
    <row r="6" spans="1:5" x14ac:dyDescent="0.25">
      <c r="A6" s="1">
        <v>46015</v>
      </c>
      <c r="B6">
        <f t="shared" ca="1" si="0"/>
        <v>1284</v>
      </c>
      <c r="C6" t="s">
        <v>15</v>
      </c>
      <c r="D6" t="s">
        <v>13</v>
      </c>
      <c r="E6" t="s">
        <v>6</v>
      </c>
    </row>
    <row r="7" spans="1:5" x14ac:dyDescent="0.25">
      <c r="A7" s="1">
        <v>46015</v>
      </c>
      <c r="B7">
        <f t="shared" ca="1" si="0"/>
        <v>8768</v>
      </c>
      <c r="C7" t="s">
        <v>15</v>
      </c>
      <c r="D7" t="s">
        <v>2</v>
      </c>
      <c r="E7" t="s">
        <v>6</v>
      </c>
    </row>
    <row r="8" spans="1:5" x14ac:dyDescent="0.25">
      <c r="A8" s="1">
        <v>46015</v>
      </c>
      <c r="B8">
        <f t="shared" ca="1" si="0"/>
        <v>13617</v>
      </c>
      <c r="C8" t="s">
        <v>15</v>
      </c>
      <c r="D8" t="s">
        <v>2</v>
      </c>
      <c r="E8" t="s">
        <v>6</v>
      </c>
    </row>
    <row r="9" spans="1:5" x14ac:dyDescent="0.25">
      <c r="A9" s="1">
        <v>46021</v>
      </c>
      <c r="B9">
        <f t="shared" ca="1" si="0"/>
        <v>24988</v>
      </c>
      <c r="C9" t="s">
        <v>15</v>
      </c>
      <c r="D9" t="s">
        <v>13</v>
      </c>
      <c r="E9" t="s">
        <v>6</v>
      </c>
    </row>
    <row r="10" spans="1:5" x14ac:dyDescent="0.25">
      <c r="A10" s="1">
        <v>46021</v>
      </c>
      <c r="B10">
        <f t="shared" ca="1" si="0"/>
        <v>13341</v>
      </c>
      <c r="C10" t="s">
        <v>15</v>
      </c>
      <c r="D10" t="s">
        <v>13</v>
      </c>
      <c r="E10" t="s">
        <v>6</v>
      </c>
    </row>
    <row r="11" spans="1:5" x14ac:dyDescent="0.25">
      <c r="A11" s="1">
        <v>46021</v>
      </c>
      <c r="B11">
        <f t="shared" ca="1" si="0"/>
        <v>6042</v>
      </c>
      <c r="C11" t="s">
        <v>15</v>
      </c>
      <c r="D11" t="s">
        <v>2</v>
      </c>
      <c r="E11" t="s">
        <v>6</v>
      </c>
    </row>
    <row r="12" spans="1:5" x14ac:dyDescent="0.25">
      <c r="A12" s="1">
        <v>46021</v>
      </c>
      <c r="B12">
        <f t="shared" ca="1" si="0"/>
        <v>16278</v>
      </c>
      <c r="C12" t="s">
        <v>15</v>
      </c>
      <c r="D12" t="s">
        <v>2</v>
      </c>
      <c r="E12" t="s">
        <v>6</v>
      </c>
    </row>
    <row r="13" spans="1:5" x14ac:dyDescent="0.25">
      <c r="A13" s="1">
        <v>46022</v>
      </c>
      <c r="B13">
        <f t="shared" ca="1" si="0"/>
        <v>3543</v>
      </c>
      <c r="C13" t="s">
        <v>15</v>
      </c>
      <c r="D13" t="s">
        <v>13</v>
      </c>
      <c r="E13" t="s">
        <v>6</v>
      </c>
    </row>
    <row r="14" spans="1:5" x14ac:dyDescent="0.25">
      <c r="A14" s="1">
        <v>46022</v>
      </c>
      <c r="B14">
        <f t="shared" ca="1" si="0"/>
        <v>5829</v>
      </c>
      <c r="C14" t="s">
        <v>15</v>
      </c>
      <c r="D14" t="s">
        <v>2</v>
      </c>
      <c r="E14" t="s">
        <v>6</v>
      </c>
    </row>
    <row r="15" spans="1:5" x14ac:dyDescent="0.25">
      <c r="A15" s="1">
        <v>46015</v>
      </c>
      <c r="B15">
        <f t="shared" ca="1" si="0"/>
        <v>3920</v>
      </c>
      <c r="C15" t="s">
        <v>3</v>
      </c>
      <c r="D15" t="s">
        <v>2</v>
      </c>
      <c r="E15" t="s">
        <v>7</v>
      </c>
    </row>
    <row r="16" spans="1:5" x14ac:dyDescent="0.25">
      <c r="A16" s="1">
        <v>46022</v>
      </c>
      <c r="B16">
        <f t="shared" ca="1" si="0"/>
        <v>2994</v>
      </c>
      <c r="C16" t="s">
        <v>3</v>
      </c>
      <c r="D16" t="s">
        <v>2</v>
      </c>
      <c r="E16" t="s">
        <v>7</v>
      </c>
    </row>
    <row r="17" spans="1:5" x14ac:dyDescent="0.25">
      <c r="A17" s="1">
        <v>46010</v>
      </c>
      <c r="B17">
        <f t="shared" ca="1" si="0"/>
        <v>7519</v>
      </c>
      <c r="C17" t="s">
        <v>25</v>
      </c>
      <c r="D17" t="s">
        <v>12</v>
      </c>
      <c r="E17" t="s">
        <v>6</v>
      </c>
    </row>
    <row r="18" spans="1:5" x14ac:dyDescent="0.25">
      <c r="A18" s="1">
        <v>46020</v>
      </c>
      <c r="B18">
        <f t="shared" ca="1" si="0"/>
        <v>2144</v>
      </c>
      <c r="C18" t="s">
        <v>25</v>
      </c>
      <c r="D18" t="s">
        <v>2</v>
      </c>
      <c r="E18" t="s">
        <v>6</v>
      </c>
    </row>
    <row r="19" spans="1:5" x14ac:dyDescent="0.25">
      <c r="A19" s="1">
        <v>46020</v>
      </c>
      <c r="B19">
        <f t="shared" ca="1" si="0"/>
        <v>15421</v>
      </c>
      <c r="C19" t="s">
        <v>25</v>
      </c>
      <c r="D19" t="s">
        <v>12</v>
      </c>
      <c r="E19" t="s">
        <v>6</v>
      </c>
    </row>
    <row r="20" spans="1:5" x14ac:dyDescent="0.25">
      <c r="A20" s="1">
        <v>46020</v>
      </c>
      <c r="B20">
        <f t="shared" ca="1" si="0"/>
        <v>24553</v>
      </c>
      <c r="C20" t="s">
        <v>25</v>
      </c>
      <c r="D20" t="s">
        <v>2</v>
      </c>
      <c r="E20" t="s">
        <v>6</v>
      </c>
    </row>
    <row r="21" spans="1:5" x14ac:dyDescent="0.25">
      <c r="A21" s="1">
        <v>46020</v>
      </c>
      <c r="B21">
        <f t="shared" ca="1" si="0"/>
        <v>23658</v>
      </c>
      <c r="C21" t="s">
        <v>25</v>
      </c>
      <c r="D21" t="s">
        <v>1</v>
      </c>
      <c r="E21" t="s">
        <v>6</v>
      </c>
    </row>
    <row r="22" spans="1:5" x14ac:dyDescent="0.25">
      <c r="A22" s="1">
        <v>46020</v>
      </c>
      <c r="B22">
        <f t="shared" ca="1" si="0"/>
        <v>21129</v>
      </c>
      <c r="C22" t="s">
        <v>25</v>
      </c>
      <c r="D22" t="s">
        <v>12</v>
      </c>
      <c r="E22" t="s">
        <v>6</v>
      </c>
    </row>
    <row r="23" spans="1:5" x14ac:dyDescent="0.25">
      <c r="A23" s="1">
        <v>46020</v>
      </c>
      <c r="B23">
        <f t="shared" ca="1" si="0"/>
        <v>3165</v>
      </c>
      <c r="C23" t="s">
        <v>25</v>
      </c>
      <c r="D23" t="s">
        <v>1</v>
      </c>
      <c r="E23" t="s">
        <v>6</v>
      </c>
    </row>
    <row r="24" spans="1:5" x14ac:dyDescent="0.25">
      <c r="A24" s="1">
        <v>46020</v>
      </c>
      <c r="B24">
        <f t="shared" ca="1" si="0"/>
        <v>23162</v>
      </c>
      <c r="C24" t="s">
        <v>25</v>
      </c>
      <c r="D24" t="s">
        <v>2</v>
      </c>
      <c r="E24" t="s">
        <v>6</v>
      </c>
    </row>
    <row r="25" spans="1:5" x14ac:dyDescent="0.25">
      <c r="A25" s="1">
        <v>46020</v>
      </c>
      <c r="B25">
        <f t="shared" ca="1" si="0"/>
        <v>19803</v>
      </c>
      <c r="C25" t="s">
        <v>25</v>
      </c>
      <c r="D25" t="s">
        <v>12</v>
      </c>
      <c r="E25" t="s">
        <v>6</v>
      </c>
    </row>
    <row r="26" spans="1:5" x14ac:dyDescent="0.25">
      <c r="A26" s="1">
        <v>46020</v>
      </c>
      <c r="B26">
        <f t="shared" ca="1" si="0"/>
        <v>18033</v>
      </c>
      <c r="C26" t="s">
        <v>25</v>
      </c>
      <c r="D26" t="s">
        <v>1</v>
      </c>
      <c r="E26" t="s">
        <v>6</v>
      </c>
    </row>
    <row r="27" spans="1:5" x14ac:dyDescent="0.25">
      <c r="A27" s="1">
        <v>46010</v>
      </c>
      <c r="B27">
        <f t="shared" ca="1" si="0"/>
        <v>18301</v>
      </c>
      <c r="C27" t="s">
        <v>17</v>
      </c>
      <c r="D27" t="s">
        <v>2</v>
      </c>
      <c r="E27" t="s">
        <v>6</v>
      </c>
    </row>
    <row r="28" spans="1:5" x14ac:dyDescent="0.25">
      <c r="A28" s="1">
        <v>46010</v>
      </c>
      <c r="B28">
        <f t="shared" ca="1" si="0"/>
        <v>10185</v>
      </c>
      <c r="C28" t="s">
        <v>17</v>
      </c>
      <c r="D28" t="s">
        <v>12</v>
      </c>
      <c r="E28" t="s">
        <v>6</v>
      </c>
    </row>
    <row r="29" spans="1:5" x14ac:dyDescent="0.25">
      <c r="A29" s="1">
        <v>46013</v>
      </c>
      <c r="B29">
        <f t="shared" ca="1" si="0"/>
        <v>14925</v>
      </c>
      <c r="C29" t="s">
        <v>17</v>
      </c>
      <c r="D29" t="s">
        <v>2</v>
      </c>
      <c r="E29" t="s">
        <v>6</v>
      </c>
    </row>
    <row r="30" spans="1:5" x14ac:dyDescent="0.25">
      <c r="A30" s="1">
        <v>46013</v>
      </c>
      <c r="B30">
        <f t="shared" ca="1" si="0"/>
        <v>1365</v>
      </c>
      <c r="C30" t="s">
        <v>17</v>
      </c>
      <c r="D30" t="s">
        <v>2</v>
      </c>
      <c r="E30" t="s">
        <v>6</v>
      </c>
    </row>
    <row r="31" spans="1:5" x14ac:dyDescent="0.25">
      <c r="A31" s="1">
        <v>46013</v>
      </c>
      <c r="B31">
        <f t="shared" ca="1" si="0"/>
        <v>16401</v>
      </c>
      <c r="C31" t="s">
        <v>17</v>
      </c>
      <c r="D31" t="s">
        <v>1</v>
      </c>
      <c r="E31" t="s">
        <v>6</v>
      </c>
    </row>
    <row r="32" spans="1:5" x14ac:dyDescent="0.25">
      <c r="A32" s="1">
        <v>46013</v>
      </c>
      <c r="B32">
        <f t="shared" ca="1" si="0"/>
        <v>9811</v>
      </c>
      <c r="C32" t="s">
        <v>17</v>
      </c>
      <c r="D32" t="s">
        <v>2</v>
      </c>
      <c r="E32" t="s">
        <v>6</v>
      </c>
    </row>
    <row r="33" spans="1:5" x14ac:dyDescent="0.25">
      <c r="A33" s="1">
        <v>46014</v>
      </c>
      <c r="B33">
        <f t="shared" ca="1" si="0"/>
        <v>20525</v>
      </c>
      <c r="C33" t="s">
        <v>17</v>
      </c>
      <c r="D33" t="s">
        <v>12</v>
      </c>
      <c r="E33" t="s">
        <v>6</v>
      </c>
    </row>
    <row r="34" spans="1:5" x14ac:dyDescent="0.25">
      <c r="A34" s="1">
        <v>46014</v>
      </c>
      <c r="B34">
        <f t="shared" ca="1" si="0"/>
        <v>11190</v>
      </c>
      <c r="C34" t="s">
        <v>17</v>
      </c>
      <c r="D34" t="s">
        <v>2</v>
      </c>
      <c r="E34" t="s">
        <v>6</v>
      </c>
    </row>
    <row r="35" spans="1:5" x14ac:dyDescent="0.25">
      <c r="A35" s="1">
        <v>46014</v>
      </c>
      <c r="B35">
        <f t="shared" ca="1" si="0"/>
        <v>7805</v>
      </c>
      <c r="C35" t="s">
        <v>17</v>
      </c>
      <c r="D35" t="s">
        <v>2</v>
      </c>
      <c r="E35" t="s">
        <v>6</v>
      </c>
    </row>
    <row r="36" spans="1:5" x14ac:dyDescent="0.25">
      <c r="A36" s="1">
        <v>46015</v>
      </c>
      <c r="B36">
        <f t="shared" ca="1" si="0"/>
        <v>24324</v>
      </c>
      <c r="C36" t="s">
        <v>17</v>
      </c>
      <c r="D36" t="s">
        <v>12</v>
      </c>
      <c r="E36" t="s">
        <v>6</v>
      </c>
    </row>
    <row r="37" spans="1:5" x14ac:dyDescent="0.25">
      <c r="A37" s="1">
        <v>46015</v>
      </c>
      <c r="B37">
        <f t="shared" ca="1" si="0"/>
        <v>49</v>
      </c>
      <c r="C37" t="s">
        <v>17</v>
      </c>
      <c r="D37" t="s">
        <v>1</v>
      </c>
      <c r="E37" t="s">
        <v>6</v>
      </c>
    </row>
    <row r="38" spans="1:5" x14ac:dyDescent="0.25">
      <c r="A38" s="1">
        <v>46017</v>
      </c>
      <c r="B38">
        <f t="shared" ca="1" si="0"/>
        <v>8150</v>
      </c>
      <c r="C38" t="s">
        <v>17</v>
      </c>
      <c r="D38" t="s">
        <v>2</v>
      </c>
      <c r="E38" t="s">
        <v>6</v>
      </c>
    </row>
    <row r="39" spans="1:5" x14ac:dyDescent="0.25">
      <c r="A39" s="1">
        <v>46017</v>
      </c>
      <c r="B39">
        <f t="shared" ca="1" si="0"/>
        <v>13963</v>
      </c>
      <c r="C39" t="s">
        <v>17</v>
      </c>
      <c r="D39" t="s">
        <v>12</v>
      </c>
      <c r="E39" t="s">
        <v>6</v>
      </c>
    </row>
    <row r="40" spans="1:5" x14ac:dyDescent="0.25">
      <c r="A40" s="1">
        <v>46017</v>
      </c>
      <c r="B40">
        <f t="shared" ca="1" si="0"/>
        <v>14443</v>
      </c>
      <c r="C40" t="s">
        <v>17</v>
      </c>
      <c r="D40" t="s">
        <v>2</v>
      </c>
      <c r="E40" t="s">
        <v>6</v>
      </c>
    </row>
    <row r="41" spans="1:5" x14ac:dyDescent="0.25">
      <c r="A41" s="1">
        <v>46021</v>
      </c>
      <c r="B41">
        <f t="shared" ca="1" si="0"/>
        <v>8410</v>
      </c>
      <c r="C41" t="s">
        <v>17</v>
      </c>
      <c r="D41" t="s">
        <v>12</v>
      </c>
      <c r="E41" t="s">
        <v>6</v>
      </c>
    </row>
    <row r="42" spans="1:5" x14ac:dyDescent="0.25">
      <c r="A42" s="1">
        <v>46021</v>
      </c>
      <c r="B42">
        <f t="shared" ca="1" si="0"/>
        <v>8947</v>
      </c>
      <c r="C42" t="s">
        <v>17</v>
      </c>
      <c r="D42" t="s">
        <v>12</v>
      </c>
      <c r="E42" t="s">
        <v>6</v>
      </c>
    </row>
    <row r="43" spans="1:5" x14ac:dyDescent="0.25">
      <c r="A43" s="1">
        <v>46021</v>
      </c>
      <c r="B43">
        <f t="shared" ca="1" si="0"/>
        <v>12495</v>
      </c>
      <c r="C43" t="s">
        <v>17</v>
      </c>
      <c r="D43" t="s">
        <v>1</v>
      </c>
      <c r="E43" t="s">
        <v>6</v>
      </c>
    </row>
    <row r="44" spans="1:5" x14ac:dyDescent="0.25">
      <c r="A44" s="1">
        <v>46021</v>
      </c>
      <c r="B44">
        <f t="shared" ca="1" si="0"/>
        <v>19640</v>
      </c>
      <c r="C44" t="s">
        <v>17</v>
      </c>
      <c r="D44" t="s">
        <v>2</v>
      </c>
      <c r="E44" t="s">
        <v>6</v>
      </c>
    </row>
    <row r="45" spans="1:5" x14ac:dyDescent="0.25">
      <c r="A45" s="1">
        <v>46022</v>
      </c>
      <c r="B45">
        <f t="shared" ca="1" si="0"/>
        <v>3916</v>
      </c>
      <c r="C45" t="s">
        <v>17</v>
      </c>
      <c r="D45" t="s">
        <v>2</v>
      </c>
      <c r="E45" t="s">
        <v>6</v>
      </c>
    </row>
    <row r="46" spans="1:5" x14ac:dyDescent="0.25">
      <c r="A46" s="1">
        <v>46022</v>
      </c>
      <c r="B46">
        <f t="shared" ca="1" si="0"/>
        <v>14587</v>
      </c>
      <c r="C46" t="s">
        <v>17</v>
      </c>
      <c r="D46" t="s">
        <v>12</v>
      </c>
      <c r="E46" t="s">
        <v>6</v>
      </c>
    </row>
    <row r="47" spans="1:5" x14ac:dyDescent="0.25">
      <c r="A47" s="1">
        <v>46022</v>
      </c>
      <c r="B47">
        <f t="shared" ca="1" si="0"/>
        <v>7833</v>
      </c>
      <c r="C47" t="s">
        <v>17</v>
      </c>
      <c r="D47" t="s">
        <v>12</v>
      </c>
      <c r="E47" t="s">
        <v>6</v>
      </c>
    </row>
    <row r="48" spans="1:5" x14ac:dyDescent="0.25">
      <c r="A48" s="1">
        <v>46022</v>
      </c>
      <c r="B48">
        <f t="shared" ca="1" si="0"/>
        <v>19503</v>
      </c>
      <c r="C48" t="s">
        <v>17</v>
      </c>
      <c r="D48" t="s">
        <v>2</v>
      </c>
      <c r="E48" t="s">
        <v>6</v>
      </c>
    </row>
    <row r="49" spans="1:5" x14ac:dyDescent="0.25">
      <c r="A49" s="1">
        <v>46022</v>
      </c>
      <c r="B49">
        <f t="shared" ca="1" si="0"/>
        <v>13930</v>
      </c>
      <c r="C49" t="s">
        <v>17</v>
      </c>
      <c r="D49" t="s">
        <v>1</v>
      </c>
      <c r="E49" t="s">
        <v>6</v>
      </c>
    </row>
    <row r="50" spans="1:5" x14ac:dyDescent="0.25">
      <c r="A50" s="1">
        <v>46015</v>
      </c>
      <c r="B50">
        <f t="shared" ca="1" si="0"/>
        <v>9227</v>
      </c>
      <c r="C50" t="s">
        <v>4</v>
      </c>
      <c r="D50" t="s">
        <v>2</v>
      </c>
      <c r="E50" t="s">
        <v>7</v>
      </c>
    </row>
    <row r="51" spans="1:5" x14ac:dyDescent="0.25">
      <c r="A51" s="1">
        <v>46021</v>
      </c>
      <c r="B51">
        <f t="shared" ca="1" si="0"/>
        <v>12086</v>
      </c>
      <c r="C51" t="s">
        <v>4</v>
      </c>
      <c r="D51" t="s">
        <v>2</v>
      </c>
      <c r="E51" t="s">
        <v>7</v>
      </c>
    </row>
    <row r="52" spans="1:5" x14ac:dyDescent="0.25">
      <c r="A52" s="1">
        <v>46021</v>
      </c>
      <c r="B52">
        <f t="shared" ca="1" si="0"/>
        <v>4893</v>
      </c>
      <c r="C52" t="s">
        <v>4</v>
      </c>
      <c r="D52" t="s">
        <v>2</v>
      </c>
      <c r="E52" t="s">
        <v>7</v>
      </c>
    </row>
    <row r="53" spans="1:5" x14ac:dyDescent="0.25">
      <c r="A53" s="1">
        <v>46021</v>
      </c>
      <c r="B53">
        <f t="shared" ca="1" si="0"/>
        <v>22604</v>
      </c>
      <c r="C53" t="s">
        <v>4</v>
      </c>
      <c r="D53" t="s">
        <v>2</v>
      </c>
      <c r="E53" t="s">
        <v>7</v>
      </c>
    </row>
    <row r="54" spans="1:5" x14ac:dyDescent="0.25">
      <c r="A54" s="1">
        <v>46013</v>
      </c>
      <c r="B54">
        <f t="shared" ca="1" si="0"/>
        <v>18618</v>
      </c>
      <c r="C54" t="s">
        <v>24</v>
      </c>
      <c r="D54" t="s">
        <v>13</v>
      </c>
      <c r="E54" t="s">
        <v>6</v>
      </c>
    </row>
    <row r="55" spans="1:5" x14ac:dyDescent="0.25">
      <c r="A55" s="1">
        <v>46013</v>
      </c>
      <c r="B55">
        <f t="shared" ca="1" si="0"/>
        <v>3871</v>
      </c>
      <c r="C55" t="s">
        <v>24</v>
      </c>
      <c r="D55" t="s">
        <v>2</v>
      </c>
      <c r="E55" t="s">
        <v>7</v>
      </c>
    </row>
    <row r="56" spans="1:5" x14ac:dyDescent="0.25">
      <c r="A56" s="1">
        <v>46013</v>
      </c>
      <c r="B56">
        <f t="shared" ca="1" si="0"/>
        <v>15349</v>
      </c>
      <c r="C56" t="s">
        <v>24</v>
      </c>
      <c r="D56" t="s">
        <v>12</v>
      </c>
      <c r="E56" t="s">
        <v>7</v>
      </c>
    </row>
    <row r="57" spans="1:5" x14ac:dyDescent="0.25">
      <c r="A57" s="1">
        <v>46014</v>
      </c>
      <c r="B57">
        <f t="shared" ca="1" si="0"/>
        <v>23852</v>
      </c>
      <c r="C57" t="s">
        <v>24</v>
      </c>
      <c r="D57" t="s">
        <v>1</v>
      </c>
      <c r="E57" t="s">
        <v>7</v>
      </c>
    </row>
    <row r="58" spans="1:5" x14ac:dyDescent="0.25">
      <c r="A58" s="1">
        <v>46020</v>
      </c>
      <c r="B58">
        <f t="shared" ca="1" si="0"/>
        <v>6021</v>
      </c>
      <c r="C58" t="s">
        <v>24</v>
      </c>
      <c r="D58" t="s">
        <v>13</v>
      </c>
      <c r="E58" t="s">
        <v>6</v>
      </c>
    </row>
    <row r="59" spans="1:5" x14ac:dyDescent="0.25">
      <c r="A59" s="1">
        <v>46020</v>
      </c>
      <c r="B59">
        <f t="shared" ca="1" si="0"/>
        <v>23834</v>
      </c>
      <c r="C59" t="s">
        <v>24</v>
      </c>
      <c r="D59" t="s">
        <v>12</v>
      </c>
      <c r="E59" t="s">
        <v>7</v>
      </c>
    </row>
    <row r="60" spans="1:5" x14ac:dyDescent="0.25">
      <c r="A60" s="1">
        <v>46021</v>
      </c>
      <c r="B60">
        <f t="shared" ca="1" si="0"/>
        <v>19328</v>
      </c>
      <c r="C60" t="s">
        <v>24</v>
      </c>
      <c r="D60" t="s">
        <v>2</v>
      </c>
      <c r="E60" t="s">
        <v>7</v>
      </c>
    </row>
    <row r="61" spans="1:5" x14ac:dyDescent="0.25">
      <c r="A61" s="1">
        <v>46021</v>
      </c>
      <c r="B61">
        <f t="shared" ca="1" si="0"/>
        <v>23362</v>
      </c>
      <c r="C61" t="s">
        <v>24</v>
      </c>
      <c r="D61" t="s">
        <v>12</v>
      </c>
      <c r="E61" t="s">
        <v>7</v>
      </c>
    </row>
    <row r="62" spans="1:5" x14ac:dyDescent="0.25">
      <c r="A62" s="1">
        <v>46010</v>
      </c>
      <c r="B62">
        <f t="shared" ca="1" si="0"/>
        <v>18225</v>
      </c>
      <c r="C62" t="s">
        <v>16</v>
      </c>
      <c r="D62" t="s">
        <v>13</v>
      </c>
      <c r="E62" t="s">
        <v>6</v>
      </c>
    </row>
    <row r="63" spans="1:5" x14ac:dyDescent="0.25">
      <c r="A63" s="1">
        <v>46020</v>
      </c>
      <c r="B63">
        <f t="shared" ca="1" si="0"/>
        <v>14800</v>
      </c>
      <c r="C63" t="s">
        <v>16</v>
      </c>
      <c r="D63" t="s">
        <v>13</v>
      </c>
      <c r="E63" t="s">
        <v>6</v>
      </c>
    </row>
    <row r="64" spans="1:5" x14ac:dyDescent="0.25">
      <c r="A64" s="1">
        <v>46022</v>
      </c>
      <c r="B64">
        <f t="shared" ca="1" si="0"/>
        <v>6977</v>
      </c>
      <c r="C64" t="s">
        <v>16</v>
      </c>
      <c r="D64" t="s">
        <v>13</v>
      </c>
      <c r="E64" t="s">
        <v>6</v>
      </c>
    </row>
    <row r="65" spans="1:5" x14ac:dyDescent="0.25">
      <c r="A65" s="1">
        <v>46022</v>
      </c>
      <c r="B65">
        <f t="shared" ca="1" si="0"/>
        <v>24647</v>
      </c>
      <c r="C65" t="s">
        <v>16</v>
      </c>
      <c r="D65" t="s">
        <v>13</v>
      </c>
      <c r="E65" t="s">
        <v>6</v>
      </c>
    </row>
    <row r="66" spans="1:5" x14ac:dyDescent="0.25">
      <c r="A66" s="1">
        <v>46017</v>
      </c>
      <c r="B66">
        <f t="shared" ca="1" si="0"/>
        <v>5843</v>
      </c>
      <c r="C66" t="s">
        <v>27</v>
      </c>
      <c r="D66" t="s">
        <v>2</v>
      </c>
      <c r="E66" t="s">
        <v>6</v>
      </c>
    </row>
    <row r="67" spans="1:5" x14ac:dyDescent="0.25">
      <c r="A67" s="1">
        <v>46014</v>
      </c>
      <c r="B67">
        <f t="shared" ref="B67:B123" ca="1" si="1">RANDBETWEEN(10,25000)</f>
        <v>21089</v>
      </c>
      <c r="C67" t="s">
        <v>33</v>
      </c>
      <c r="D67" t="s">
        <v>2</v>
      </c>
      <c r="E67" t="s">
        <v>7</v>
      </c>
    </row>
    <row r="68" spans="1:5" x14ac:dyDescent="0.25">
      <c r="A68" s="1">
        <v>46010</v>
      </c>
      <c r="B68">
        <f t="shared" ca="1" si="1"/>
        <v>18658</v>
      </c>
      <c r="C68" t="s">
        <v>22</v>
      </c>
      <c r="D68" t="s">
        <v>2</v>
      </c>
      <c r="E68" t="s">
        <v>6</v>
      </c>
    </row>
    <row r="69" spans="1:5" x14ac:dyDescent="0.25">
      <c r="A69" s="1">
        <v>46020</v>
      </c>
      <c r="B69">
        <f t="shared" ca="1" si="1"/>
        <v>21561</v>
      </c>
      <c r="C69" t="s">
        <v>22</v>
      </c>
      <c r="D69" t="s">
        <v>2</v>
      </c>
      <c r="E69" t="s">
        <v>6</v>
      </c>
    </row>
    <row r="70" spans="1:5" x14ac:dyDescent="0.25">
      <c r="A70" s="1">
        <v>46021</v>
      </c>
      <c r="B70">
        <f t="shared" ca="1" si="1"/>
        <v>19427</v>
      </c>
      <c r="C70" t="s">
        <v>22</v>
      </c>
      <c r="D70" t="s">
        <v>2</v>
      </c>
      <c r="E70" t="s">
        <v>6</v>
      </c>
    </row>
    <row r="71" spans="1:5" x14ac:dyDescent="0.25">
      <c r="A71" s="1">
        <v>46021</v>
      </c>
      <c r="B71">
        <f t="shared" ca="1" si="1"/>
        <v>19533</v>
      </c>
      <c r="C71" t="s">
        <v>22</v>
      </c>
      <c r="D71" t="s">
        <v>2</v>
      </c>
      <c r="E71" t="s">
        <v>6</v>
      </c>
    </row>
    <row r="72" spans="1:5" x14ac:dyDescent="0.25">
      <c r="A72" s="1">
        <v>46021</v>
      </c>
      <c r="B72">
        <f t="shared" ca="1" si="1"/>
        <v>9598</v>
      </c>
      <c r="C72" t="s">
        <v>22</v>
      </c>
      <c r="D72" t="s">
        <v>2</v>
      </c>
      <c r="E72" t="s">
        <v>6</v>
      </c>
    </row>
    <row r="73" spans="1:5" x14ac:dyDescent="0.25">
      <c r="A73" s="1">
        <v>46021</v>
      </c>
      <c r="B73">
        <f t="shared" ca="1" si="1"/>
        <v>4368</v>
      </c>
      <c r="C73" t="s">
        <v>22</v>
      </c>
      <c r="D73" t="s">
        <v>2</v>
      </c>
      <c r="E73" t="s">
        <v>6</v>
      </c>
    </row>
    <row r="74" spans="1:5" x14ac:dyDescent="0.25">
      <c r="A74" s="1">
        <v>46021</v>
      </c>
      <c r="B74">
        <f t="shared" ca="1" si="1"/>
        <v>244</v>
      </c>
      <c r="C74" t="s">
        <v>22</v>
      </c>
      <c r="D74" t="s">
        <v>2</v>
      </c>
      <c r="E74" t="s">
        <v>6</v>
      </c>
    </row>
    <row r="75" spans="1:5" x14ac:dyDescent="0.25">
      <c r="A75" s="1">
        <v>46015</v>
      </c>
      <c r="B75">
        <f t="shared" ca="1" si="1"/>
        <v>22145</v>
      </c>
      <c r="C75" t="s">
        <v>28</v>
      </c>
      <c r="D75" t="s">
        <v>2</v>
      </c>
      <c r="E75" t="s">
        <v>7</v>
      </c>
    </row>
    <row r="76" spans="1:5" x14ac:dyDescent="0.25">
      <c r="A76" s="1">
        <v>46010</v>
      </c>
      <c r="B76">
        <f t="shared" ca="1" si="1"/>
        <v>16499</v>
      </c>
      <c r="C76" t="s">
        <v>18</v>
      </c>
      <c r="D76" t="s">
        <v>2</v>
      </c>
      <c r="E76" t="s">
        <v>6</v>
      </c>
    </row>
    <row r="77" spans="1:5" x14ac:dyDescent="0.25">
      <c r="A77" s="1">
        <v>46013</v>
      </c>
      <c r="B77">
        <f t="shared" ca="1" si="1"/>
        <v>15750</v>
      </c>
      <c r="C77" t="s">
        <v>18</v>
      </c>
      <c r="D77" t="s">
        <v>2</v>
      </c>
      <c r="E77" t="s">
        <v>6</v>
      </c>
    </row>
    <row r="78" spans="1:5" x14ac:dyDescent="0.25">
      <c r="A78" s="1">
        <v>46013</v>
      </c>
      <c r="B78">
        <f t="shared" ca="1" si="1"/>
        <v>23428</v>
      </c>
      <c r="C78" t="s">
        <v>18</v>
      </c>
      <c r="D78" t="s">
        <v>12</v>
      </c>
      <c r="E78" t="s">
        <v>6</v>
      </c>
    </row>
    <row r="79" spans="1:5" x14ac:dyDescent="0.25">
      <c r="A79" s="1">
        <v>46014</v>
      </c>
      <c r="B79">
        <f t="shared" ca="1" si="1"/>
        <v>10185</v>
      </c>
      <c r="C79" t="s">
        <v>18</v>
      </c>
      <c r="D79" t="s">
        <v>2</v>
      </c>
      <c r="E79" t="s">
        <v>6</v>
      </c>
    </row>
    <row r="80" spans="1:5" x14ac:dyDescent="0.25">
      <c r="A80" s="1">
        <v>46014</v>
      </c>
      <c r="B80">
        <f t="shared" ca="1" si="1"/>
        <v>4383</v>
      </c>
      <c r="C80" t="s">
        <v>18</v>
      </c>
      <c r="D80" t="s">
        <v>12</v>
      </c>
      <c r="E80" t="s">
        <v>6</v>
      </c>
    </row>
    <row r="81" spans="1:5" x14ac:dyDescent="0.25">
      <c r="A81" s="1">
        <v>46020</v>
      </c>
      <c r="B81">
        <f t="shared" ca="1" si="1"/>
        <v>16755</v>
      </c>
      <c r="C81" t="s">
        <v>18</v>
      </c>
      <c r="D81" t="s">
        <v>2</v>
      </c>
      <c r="E81" t="s">
        <v>6</v>
      </c>
    </row>
    <row r="82" spans="1:5" x14ac:dyDescent="0.25">
      <c r="A82" s="1">
        <v>46020</v>
      </c>
      <c r="B82">
        <f t="shared" ca="1" si="1"/>
        <v>19326</v>
      </c>
      <c r="C82" t="s">
        <v>18</v>
      </c>
      <c r="D82" t="s">
        <v>12</v>
      </c>
      <c r="E82" t="s">
        <v>6</v>
      </c>
    </row>
    <row r="83" spans="1:5" x14ac:dyDescent="0.25">
      <c r="A83" s="1">
        <v>46021</v>
      </c>
      <c r="B83">
        <f t="shared" ca="1" si="1"/>
        <v>5646</v>
      </c>
      <c r="C83" t="s">
        <v>18</v>
      </c>
      <c r="D83" t="s">
        <v>2</v>
      </c>
      <c r="E83" t="s">
        <v>6</v>
      </c>
    </row>
    <row r="84" spans="1:5" x14ac:dyDescent="0.25">
      <c r="A84" s="1">
        <v>46022</v>
      </c>
      <c r="B84">
        <f t="shared" ca="1" si="1"/>
        <v>2409</v>
      </c>
      <c r="C84" t="s">
        <v>18</v>
      </c>
      <c r="D84" t="s">
        <v>2</v>
      </c>
      <c r="E84" t="s">
        <v>6</v>
      </c>
    </row>
    <row r="85" spans="1:5" x14ac:dyDescent="0.25">
      <c r="A85" s="1">
        <v>46022</v>
      </c>
      <c r="B85">
        <f t="shared" ca="1" si="1"/>
        <v>4666</v>
      </c>
      <c r="C85" t="s">
        <v>18</v>
      </c>
      <c r="D85" t="s">
        <v>12</v>
      </c>
      <c r="E85" t="s">
        <v>6</v>
      </c>
    </row>
    <row r="86" spans="1:5" x14ac:dyDescent="0.25">
      <c r="A86" s="1">
        <v>46015</v>
      </c>
      <c r="B86">
        <f t="shared" ca="1" si="1"/>
        <v>7169</v>
      </c>
      <c r="C86" t="s">
        <v>21</v>
      </c>
      <c r="D86" t="s">
        <v>13</v>
      </c>
      <c r="E86" t="s">
        <v>6</v>
      </c>
    </row>
    <row r="87" spans="1:5" x14ac:dyDescent="0.25">
      <c r="A87" s="1">
        <v>46015</v>
      </c>
      <c r="B87">
        <f t="shared" ca="1" si="1"/>
        <v>948</v>
      </c>
      <c r="C87" t="s">
        <v>21</v>
      </c>
      <c r="D87" t="s">
        <v>12</v>
      </c>
      <c r="E87" t="s">
        <v>7</v>
      </c>
    </row>
    <row r="88" spans="1:5" x14ac:dyDescent="0.25">
      <c r="A88" s="1">
        <v>46022</v>
      </c>
      <c r="B88">
        <f t="shared" ca="1" si="1"/>
        <v>9703</v>
      </c>
      <c r="C88" t="s">
        <v>21</v>
      </c>
      <c r="D88" t="s">
        <v>2</v>
      </c>
      <c r="E88" t="s">
        <v>7</v>
      </c>
    </row>
    <row r="89" spans="1:5" x14ac:dyDescent="0.25">
      <c r="A89" s="1">
        <v>46022</v>
      </c>
      <c r="B89">
        <f t="shared" ca="1" si="1"/>
        <v>4625</v>
      </c>
      <c r="C89" t="s">
        <v>21</v>
      </c>
      <c r="D89" t="s">
        <v>12</v>
      </c>
      <c r="E89" t="s">
        <v>7</v>
      </c>
    </row>
    <row r="90" spans="1:5" x14ac:dyDescent="0.25">
      <c r="A90" s="1">
        <v>46010</v>
      </c>
      <c r="B90">
        <f t="shared" ca="1" si="1"/>
        <v>16442</v>
      </c>
      <c r="C90" t="s">
        <v>20</v>
      </c>
      <c r="D90" t="s">
        <v>13</v>
      </c>
      <c r="E90" t="s">
        <v>6</v>
      </c>
    </row>
    <row r="91" spans="1:5" x14ac:dyDescent="0.25">
      <c r="A91" s="1">
        <v>46010</v>
      </c>
      <c r="B91">
        <f t="shared" ca="1" si="1"/>
        <v>5329</v>
      </c>
      <c r="C91" t="s">
        <v>20</v>
      </c>
      <c r="D91" t="s">
        <v>2</v>
      </c>
      <c r="E91" t="s">
        <v>6</v>
      </c>
    </row>
    <row r="92" spans="1:5" x14ac:dyDescent="0.25">
      <c r="A92" s="1">
        <v>46010</v>
      </c>
      <c r="B92">
        <f t="shared" ca="1" si="1"/>
        <v>4469</v>
      </c>
      <c r="C92" t="s">
        <v>20</v>
      </c>
      <c r="D92" t="s">
        <v>2</v>
      </c>
      <c r="E92" t="s">
        <v>6</v>
      </c>
    </row>
    <row r="93" spans="1:5" x14ac:dyDescent="0.25">
      <c r="A93" s="1">
        <v>46010</v>
      </c>
      <c r="B93">
        <f t="shared" ca="1" si="1"/>
        <v>1332</v>
      </c>
      <c r="C93" t="s">
        <v>20</v>
      </c>
      <c r="D93" t="s">
        <v>1</v>
      </c>
      <c r="E93" t="s">
        <v>7</v>
      </c>
    </row>
    <row r="94" spans="1:5" x14ac:dyDescent="0.25">
      <c r="A94" s="1">
        <v>46010</v>
      </c>
      <c r="B94">
        <f t="shared" ca="1" si="1"/>
        <v>19654</v>
      </c>
      <c r="C94" t="s">
        <v>20</v>
      </c>
      <c r="D94" t="s">
        <v>1</v>
      </c>
      <c r="E94" t="s">
        <v>7</v>
      </c>
    </row>
    <row r="95" spans="1:5" x14ac:dyDescent="0.25">
      <c r="A95" s="1">
        <v>46013</v>
      </c>
      <c r="B95">
        <f t="shared" ca="1" si="1"/>
        <v>3508</v>
      </c>
      <c r="C95" t="s">
        <v>20</v>
      </c>
      <c r="D95" t="s">
        <v>2</v>
      </c>
      <c r="E95" t="s">
        <v>6</v>
      </c>
    </row>
    <row r="96" spans="1:5" x14ac:dyDescent="0.25">
      <c r="A96" s="1">
        <v>46014</v>
      </c>
      <c r="B96">
        <f t="shared" ca="1" si="1"/>
        <v>940</v>
      </c>
      <c r="C96" t="s">
        <v>20</v>
      </c>
      <c r="D96" t="s">
        <v>2</v>
      </c>
      <c r="E96" t="s">
        <v>6</v>
      </c>
    </row>
    <row r="97" spans="1:5" x14ac:dyDescent="0.25">
      <c r="A97" s="1">
        <v>46014</v>
      </c>
      <c r="B97">
        <f t="shared" ca="1" si="1"/>
        <v>2468</v>
      </c>
      <c r="C97" t="s">
        <v>20</v>
      </c>
      <c r="D97" t="s">
        <v>13</v>
      </c>
      <c r="E97" t="s">
        <v>6</v>
      </c>
    </row>
    <row r="98" spans="1:5" x14ac:dyDescent="0.25">
      <c r="A98" s="1">
        <v>46014</v>
      </c>
      <c r="B98">
        <f t="shared" ca="1" si="1"/>
        <v>15947</v>
      </c>
      <c r="C98" t="s">
        <v>20</v>
      </c>
      <c r="D98" t="s">
        <v>2</v>
      </c>
      <c r="E98" t="s">
        <v>6</v>
      </c>
    </row>
    <row r="99" spans="1:5" x14ac:dyDescent="0.25">
      <c r="A99" s="1">
        <v>46015</v>
      </c>
      <c r="B99">
        <f t="shared" ca="1" si="1"/>
        <v>21248</v>
      </c>
      <c r="C99" t="s">
        <v>20</v>
      </c>
      <c r="D99" t="s">
        <v>13</v>
      </c>
      <c r="E99" t="s">
        <v>6</v>
      </c>
    </row>
    <row r="100" spans="1:5" x14ac:dyDescent="0.25">
      <c r="A100" s="1">
        <v>46017</v>
      </c>
      <c r="B100">
        <f t="shared" ca="1" si="1"/>
        <v>2266</v>
      </c>
      <c r="C100" t="s">
        <v>20</v>
      </c>
      <c r="D100" t="s">
        <v>2</v>
      </c>
      <c r="E100" t="s">
        <v>6</v>
      </c>
    </row>
    <row r="101" spans="1:5" x14ac:dyDescent="0.25">
      <c r="A101" s="1">
        <v>46020</v>
      </c>
      <c r="B101">
        <f t="shared" ca="1" si="1"/>
        <v>12265</v>
      </c>
      <c r="C101" t="s">
        <v>20</v>
      </c>
      <c r="D101" t="s">
        <v>2</v>
      </c>
      <c r="E101" t="s">
        <v>6</v>
      </c>
    </row>
    <row r="102" spans="1:5" x14ac:dyDescent="0.25">
      <c r="A102" s="1">
        <v>46020</v>
      </c>
      <c r="B102">
        <f t="shared" ca="1" si="1"/>
        <v>2322</v>
      </c>
      <c r="C102" t="s">
        <v>20</v>
      </c>
      <c r="D102" t="s">
        <v>13</v>
      </c>
      <c r="E102" t="s">
        <v>6</v>
      </c>
    </row>
    <row r="103" spans="1:5" x14ac:dyDescent="0.25">
      <c r="A103" s="1">
        <v>46020</v>
      </c>
      <c r="B103">
        <f t="shared" ca="1" si="1"/>
        <v>9355</v>
      </c>
      <c r="C103" t="s">
        <v>20</v>
      </c>
      <c r="D103" t="s">
        <v>2</v>
      </c>
      <c r="E103" t="s">
        <v>6</v>
      </c>
    </row>
    <row r="104" spans="1:5" x14ac:dyDescent="0.25">
      <c r="A104" s="1">
        <v>46020</v>
      </c>
      <c r="B104">
        <f t="shared" ca="1" si="1"/>
        <v>22331</v>
      </c>
      <c r="C104" t="s">
        <v>20</v>
      </c>
      <c r="D104" t="s">
        <v>13</v>
      </c>
      <c r="E104" t="s">
        <v>6</v>
      </c>
    </row>
    <row r="105" spans="1:5" x14ac:dyDescent="0.25">
      <c r="A105" s="1">
        <v>46020</v>
      </c>
      <c r="B105">
        <f t="shared" ca="1" si="1"/>
        <v>4888</v>
      </c>
      <c r="C105" t="s">
        <v>20</v>
      </c>
      <c r="D105" t="s">
        <v>2</v>
      </c>
      <c r="E105" t="s">
        <v>6</v>
      </c>
    </row>
    <row r="106" spans="1:5" x14ac:dyDescent="0.25">
      <c r="A106" s="1">
        <v>46021</v>
      </c>
      <c r="B106">
        <f t="shared" ca="1" si="1"/>
        <v>22511</v>
      </c>
      <c r="C106" t="s">
        <v>20</v>
      </c>
      <c r="D106" t="s">
        <v>2</v>
      </c>
      <c r="E106" t="s">
        <v>6</v>
      </c>
    </row>
    <row r="107" spans="1:5" x14ac:dyDescent="0.25">
      <c r="A107" s="1">
        <v>46021</v>
      </c>
      <c r="B107">
        <f t="shared" ca="1" si="1"/>
        <v>4420</v>
      </c>
      <c r="C107" t="s">
        <v>20</v>
      </c>
      <c r="D107" t="s">
        <v>13</v>
      </c>
      <c r="E107" t="s">
        <v>6</v>
      </c>
    </row>
    <row r="108" spans="1:5" x14ac:dyDescent="0.25">
      <c r="A108" s="1">
        <v>46021</v>
      </c>
      <c r="B108">
        <f t="shared" ca="1" si="1"/>
        <v>19374</v>
      </c>
      <c r="C108" t="s">
        <v>20</v>
      </c>
      <c r="D108" t="s">
        <v>2</v>
      </c>
      <c r="E108" t="s">
        <v>6</v>
      </c>
    </row>
    <row r="109" spans="1:5" x14ac:dyDescent="0.25">
      <c r="A109" s="1">
        <v>46021</v>
      </c>
      <c r="B109">
        <f t="shared" ca="1" si="1"/>
        <v>10125</v>
      </c>
      <c r="C109" t="s">
        <v>20</v>
      </c>
      <c r="D109" t="s">
        <v>2</v>
      </c>
      <c r="E109" t="s">
        <v>6</v>
      </c>
    </row>
    <row r="110" spans="1:5" x14ac:dyDescent="0.25">
      <c r="A110" s="1">
        <v>46021</v>
      </c>
      <c r="B110">
        <f t="shared" ca="1" si="1"/>
        <v>6578</v>
      </c>
      <c r="C110" t="s">
        <v>20</v>
      </c>
      <c r="D110" t="s">
        <v>14</v>
      </c>
      <c r="E110" t="s">
        <v>7</v>
      </c>
    </row>
    <row r="111" spans="1:5" x14ac:dyDescent="0.25">
      <c r="A111" s="1">
        <v>46021</v>
      </c>
      <c r="B111">
        <f t="shared" ca="1" si="1"/>
        <v>9606</v>
      </c>
      <c r="C111" t="s">
        <v>20</v>
      </c>
      <c r="D111" t="s">
        <v>2</v>
      </c>
      <c r="E111" t="s">
        <v>6</v>
      </c>
    </row>
    <row r="112" spans="1:5" x14ac:dyDescent="0.25">
      <c r="A112" s="1">
        <v>46022</v>
      </c>
      <c r="B112">
        <f t="shared" ca="1" si="1"/>
        <v>5785</v>
      </c>
      <c r="C112" t="s">
        <v>20</v>
      </c>
      <c r="D112" t="s">
        <v>2</v>
      </c>
      <c r="E112" t="s">
        <v>6</v>
      </c>
    </row>
    <row r="113" spans="1:5" x14ac:dyDescent="0.25">
      <c r="A113" s="1">
        <v>46022</v>
      </c>
      <c r="B113">
        <f t="shared" ca="1" si="1"/>
        <v>2281</v>
      </c>
      <c r="C113" t="s">
        <v>20</v>
      </c>
      <c r="D113" t="s">
        <v>13</v>
      </c>
      <c r="E113" t="s">
        <v>6</v>
      </c>
    </row>
    <row r="114" spans="1:5" x14ac:dyDescent="0.25">
      <c r="A114" s="1">
        <v>46020</v>
      </c>
      <c r="B114">
        <f t="shared" ca="1" si="1"/>
        <v>21971</v>
      </c>
      <c r="C114" t="s">
        <v>5</v>
      </c>
      <c r="D114" t="s">
        <v>2</v>
      </c>
      <c r="E114" t="s">
        <v>7</v>
      </c>
    </row>
    <row r="115" spans="1:5" x14ac:dyDescent="0.25">
      <c r="A115" s="1">
        <v>46010</v>
      </c>
      <c r="B115">
        <f t="shared" ca="1" si="1"/>
        <v>15362</v>
      </c>
      <c r="C115" t="s">
        <v>19</v>
      </c>
      <c r="D115" t="s">
        <v>13</v>
      </c>
      <c r="E115" t="s">
        <v>6</v>
      </c>
    </row>
    <row r="116" spans="1:5" x14ac:dyDescent="0.25">
      <c r="A116" s="1">
        <v>46013</v>
      </c>
      <c r="B116">
        <f t="shared" ca="1" si="1"/>
        <v>12583</v>
      </c>
      <c r="C116" t="s">
        <v>19</v>
      </c>
      <c r="D116" t="s">
        <v>1</v>
      </c>
      <c r="E116" t="s">
        <v>7</v>
      </c>
    </row>
    <row r="117" spans="1:5" x14ac:dyDescent="0.25">
      <c r="A117" s="1">
        <v>46014</v>
      </c>
      <c r="B117">
        <f t="shared" ca="1" si="1"/>
        <v>22526</v>
      </c>
      <c r="C117" t="s">
        <v>19</v>
      </c>
      <c r="D117" t="s">
        <v>13</v>
      </c>
      <c r="E117" t="s">
        <v>6</v>
      </c>
    </row>
    <row r="118" spans="1:5" x14ac:dyDescent="0.25">
      <c r="A118" s="1">
        <v>46022</v>
      </c>
      <c r="B118">
        <f t="shared" ca="1" si="1"/>
        <v>17430</v>
      </c>
      <c r="C118" t="s">
        <v>19</v>
      </c>
      <c r="D118" t="s">
        <v>13</v>
      </c>
      <c r="E118" t="s">
        <v>6</v>
      </c>
    </row>
    <row r="119" spans="1:5" x14ac:dyDescent="0.25">
      <c r="A119" s="1">
        <v>46010</v>
      </c>
      <c r="B119">
        <f t="shared" ca="1" si="1"/>
        <v>23098</v>
      </c>
      <c r="C119" t="s">
        <v>26</v>
      </c>
      <c r="D119" t="s">
        <v>12</v>
      </c>
      <c r="E119" t="s">
        <v>7</v>
      </c>
    </row>
    <row r="120" spans="1:5" x14ac:dyDescent="0.25">
      <c r="A120" s="1">
        <v>46014</v>
      </c>
      <c r="B120">
        <f t="shared" ca="1" si="1"/>
        <v>21901</v>
      </c>
      <c r="C120" t="s">
        <v>26</v>
      </c>
      <c r="D120" t="s">
        <v>2</v>
      </c>
      <c r="E120" t="s">
        <v>7</v>
      </c>
    </row>
    <row r="121" spans="1:5" x14ac:dyDescent="0.25">
      <c r="A121" s="1">
        <v>46020</v>
      </c>
      <c r="B121">
        <f t="shared" ca="1" si="1"/>
        <v>827</v>
      </c>
      <c r="C121" t="s">
        <v>26</v>
      </c>
      <c r="D121" t="s">
        <v>13</v>
      </c>
      <c r="E121" t="s">
        <v>6</v>
      </c>
    </row>
    <row r="122" spans="1:5" x14ac:dyDescent="0.25">
      <c r="A122" s="1">
        <v>46020</v>
      </c>
      <c r="B122">
        <f t="shared" ca="1" si="1"/>
        <v>9590</v>
      </c>
      <c r="C122" t="s">
        <v>26</v>
      </c>
      <c r="D122" t="s">
        <v>2</v>
      </c>
      <c r="E122" t="s">
        <v>7</v>
      </c>
    </row>
    <row r="123" spans="1:5" x14ac:dyDescent="0.25">
      <c r="A123" s="1"/>
      <c r="C123" s="5"/>
      <c r="D123" s="5"/>
      <c r="E123" s="5"/>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7DFFF7A-F07E-4509-A66B-4C15B5E5532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Dashboard</vt:lpstr>
      <vt:lpstr>1</vt:lpstr>
      <vt:lpstr>2</vt:lpstr>
      <vt:lpstr>3</vt:lpstr>
      <vt:lpstr>4</vt:lpstr>
      <vt:lpstr>5</vt:lpstr>
      <vt:lpstr>12-19 - 12-31</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Nunez, Eric</dc:creator>
  <cp:lastModifiedBy>Eubank, Jason</cp:lastModifiedBy>
  <cp:lastPrinted>2026-01-05T22:53:14Z</cp:lastPrinted>
  <dcterms:created xsi:type="dcterms:W3CDTF">2025-12-22T13:32:50Z</dcterms:created>
  <dcterms:modified xsi:type="dcterms:W3CDTF">2026-01-06T14:21:47Z</dcterms:modified>
</cp:coreProperties>
</file>