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jbank\Downloads\"/>
    </mc:Choice>
  </mc:AlternateContent>
  <xr:revisionPtr revIDLastSave="0" documentId="13_ncr:1_{A01C873A-1F7F-422E-949D-3289227340F8}" xr6:coauthVersionLast="47" xr6:coauthVersionMax="47" xr10:uidLastSave="{00000000-0000-0000-0000-000000000000}"/>
  <bookViews>
    <workbookView xWindow="28680" yWindow="-120" windowWidth="29040" windowHeight="15720" xr2:uid="{3F22BB17-28B2-4C26-86E0-33743162EB75}"/>
  </bookViews>
  <sheets>
    <sheet name="Dashboard" sheetId="13" r:id="rId1"/>
    <sheet name="Sheet6" sheetId="15" r:id="rId2"/>
    <sheet name="Sheet3" sheetId="12" r:id="rId3"/>
    <sheet name="Sheet9" sheetId="19" r:id="rId4"/>
    <sheet name="Sheet10" sheetId="20" r:id="rId5"/>
    <sheet name="Sheet1" sheetId="21" r:id="rId6"/>
    <sheet name="12-19 - 12-31" sheetId="9" r:id="rId7"/>
    <sheet name="12-30-25" sheetId="8" r:id="rId8"/>
    <sheet name="12-29-25" sheetId="7" r:id="rId9"/>
    <sheet name="12-26-25" sheetId="6" r:id="rId10"/>
    <sheet name="12-24-25" sheetId="5" r:id="rId11"/>
    <sheet name="12-23-25" sheetId="4" r:id="rId12"/>
    <sheet name="12-22-25" sheetId="3" r:id="rId13"/>
    <sheet name="12-19-25" sheetId="1" r:id="rId14"/>
  </sheets>
  <definedNames>
    <definedName name="ExternalData_1" localSheetId="12" hidden="1">'12-22-25'!$A$1:$S$24</definedName>
    <definedName name="ExternalData_2" localSheetId="11" hidden="1">'12-23-25'!$A$1:$S$17</definedName>
    <definedName name="ExternalData_3" localSheetId="10" hidden="1">'12-24-25'!$A$1:$S$15</definedName>
    <definedName name="ExternalData_4" localSheetId="9" hidden="1">'12-26-25'!$A$1:$S$6</definedName>
    <definedName name="ExternalData_5" localSheetId="8" hidden="1">'12-29-25'!$A$1:$S$28</definedName>
    <definedName name="ExternalData_6" localSheetId="7" hidden="1">'12-30-25'!$A$1:$S$28</definedName>
    <definedName name="ExternalData_7" localSheetId="6" hidden="1">'12-19 - 12-31'!$A$1:$F$122</definedName>
    <definedName name="_xlnm.Print_Area" localSheetId="0">Dashboard!$A$1:$AD$45</definedName>
    <definedName name="Slicer_Department">#N/A</definedName>
    <definedName name="Slicer_Paye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8EE4FF-34E9-4A6B-ADE6-6A4FF128B1CB}" keepAlive="1" name="Query - 12-19 - 12-31" description="Connection to the '12-19 - 12-31' query in the workbook." type="5" refreshedVersion="8" background="1" saveData="1">
    <dbPr connection="Provider=Microsoft.Mashup.OleDb.1;Data Source=$Workbook$;Location=&quot;12-19 - 12-31&quot;;Extended Properties=&quot;&quot;" command="SELECT * FROM [12-19 - 12-31]"/>
  </connection>
  <connection id="2" xr16:uid="{92C9AFD1-F1A7-4FD1-9AB1-7946C9E7AD9E}" keepAlive="1" name="Query - 12-19-25" description="Connection to the '12-19-25' query in the workbook." type="5" refreshedVersion="0" background="1">
    <dbPr connection="Provider=Microsoft.Mashup.OleDb.1;Data Source=$Workbook$;Location=12-19-25;Extended Properties=&quot;&quot;" command="SELECT * FROM [12-19-25]"/>
  </connection>
  <connection id="3" xr16:uid="{2A88918F-3249-4CE2-B824-5A81605C0C4B}" keepAlive="1" name="Query - 12-22-25" description="Connection to the '12-22-25' query in the workbook." type="5" refreshedVersion="8" background="1" saveData="1">
    <dbPr connection="Provider=Microsoft.Mashup.OleDb.1;Data Source=$Workbook$;Location=12-22-25;Extended Properties=&quot;&quot;" command="SELECT * FROM [12-22-25]"/>
  </connection>
  <connection id="4" xr16:uid="{6C5893E5-8431-45F4-B75E-005BB2883B99}" keepAlive="1" name="Query - 12-23-25" description="Connection to the '12-23-25' query in the workbook." type="5" refreshedVersion="8" background="1" saveData="1">
    <dbPr connection="Provider=Microsoft.Mashup.OleDb.1;Data Source=$Workbook$;Location=12-23-25;Extended Properties=&quot;&quot;" command="SELECT * FROM [12-23-25]"/>
  </connection>
  <connection id="5" xr16:uid="{C3A241AF-A11D-49ED-AFB5-7BE382E53C76}" keepAlive="1" name="Query - 12-24-25" description="Connection to the '12-24-25' query in the workbook." type="5" refreshedVersion="8" background="1" saveData="1">
    <dbPr connection="Provider=Microsoft.Mashup.OleDb.1;Data Source=$Workbook$;Location=12-24-25;Extended Properties=&quot;&quot;" command="SELECT * FROM [12-24-25]"/>
  </connection>
  <connection id="6" xr16:uid="{855786DC-F974-4125-B629-984C0739695A}" keepAlive="1" name="Query - 12-26-25" description="Connection to the '12-26-25' query in the workbook." type="5" refreshedVersion="8" background="1" saveData="1">
    <dbPr connection="Provider=Microsoft.Mashup.OleDb.1;Data Source=$Workbook$;Location=12-26-25;Extended Properties=&quot;&quot;" command="SELECT * FROM [12-26-25]"/>
  </connection>
  <connection id="7" xr16:uid="{A00F0E65-72DC-4B58-822C-0289F73416E5}" keepAlive="1" name="Query - 12-29-25" description="Connection to the '12-29-25' query in the workbook." type="5" refreshedVersion="8" background="1" saveData="1">
    <dbPr connection="Provider=Microsoft.Mashup.OleDb.1;Data Source=$Workbook$;Location=12-29-25;Extended Properties=&quot;&quot;" command="SELECT * FROM [12-29-25]"/>
  </connection>
  <connection id="8" xr16:uid="{75A30B85-2DC8-4251-928A-1578D32FF80D}" keepAlive="1" name="Query - 12-30-25" description="Connection to the '12-30-25' query in the workbook." type="5" refreshedVersion="8" background="1" saveData="1">
    <dbPr connection="Provider=Microsoft.Mashup.OleDb.1;Data Source=$Workbook$;Location=12-30-25;Extended Properties=&quot;&quot;" command="SELECT * FROM [12-30-25]"/>
  </connection>
</connections>
</file>

<file path=xl/sharedStrings.xml><?xml version="1.0" encoding="utf-8"?>
<sst xmlns="http://schemas.openxmlformats.org/spreadsheetml/2006/main" count="2204" uniqueCount="251">
  <si>
    <t>As Of Date</t>
  </si>
  <si>
    <t>Credit Amount</t>
  </si>
  <si>
    <t>Recipient ID</t>
  </si>
  <si>
    <t>Sending Company Name</t>
  </si>
  <si>
    <t>Recipient Name</t>
  </si>
  <si>
    <t>Value Date</t>
  </si>
  <si>
    <t>Remittance Information</t>
  </si>
  <si>
    <t>End to End Reference</t>
  </si>
  <si>
    <t>Bank Reference</t>
  </si>
  <si>
    <t>Payment Purpose</t>
  </si>
  <si>
    <t>Purpose Description</t>
  </si>
  <si>
    <t>Remittance Type</t>
  </si>
  <si>
    <t>Sending Bank ID</t>
  </si>
  <si>
    <t>Trace Number</t>
  </si>
  <si>
    <t>Unique ID</t>
  </si>
  <si>
    <t>Foreign Exchange Rate</t>
  </si>
  <si>
    <t>Received Amount</t>
  </si>
  <si>
    <t>Received Currency</t>
  </si>
  <si>
    <t>2025/12/19</t>
  </si>
  <si>
    <t/>
  </si>
  <si>
    <t>UNC ORAL AND MAXILLOFA</t>
  </si>
  <si>
    <t>101129745140</t>
  </si>
  <si>
    <t>00000091005970211988</t>
  </si>
  <si>
    <t>1790866564</t>
  </si>
  <si>
    <t>000015178653</t>
  </si>
  <si>
    <t>00000091005963089370</t>
  </si>
  <si>
    <t>561319745</t>
  </si>
  <si>
    <t>UNC ORAL   MAXILLOFACI</t>
  </si>
  <si>
    <t>000025732998</t>
  </si>
  <si>
    <t>00000091005866076293</t>
  </si>
  <si>
    <t>550862343</t>
  </si>
  <si>
    <t>/ORAL MAXILLOFACIAL PA</t>
  </si>
  <si>
    <t>000018747330</t>
  </si>
  <si>
    <t>00000091005760900664</t>
  </si>
  <si>
    <t>562180744</t>
  </si>
  <si>
    <t>UNC CRANIOFACIAL CENTE</t>
  </si>
  <si>
    <t>000016655940</t>
  </si>
  <si>
    <t>00000091005967563575</t>
  </si>
  <si>
    <t>1023044526</t>
  </si>
  <si>
    <t>UNC DENTAL FACULTY PRA</t>
  </si>
  <si>
    <t>000015177910</t>
  </si>
  <si>
    <t>00000091005963092349</t>
  </si>
  <si>
    <t>UNC Oral and Maxillofa</t>
  </si>
  <si>
    <t>000016578605</t>
  </si>
  <si>
    <t>00000091005967519042</t>
  </si>
  <si>
    <t>384873191055</t>
  </si>
  <si>
    <t>00000091006062848426</t>
  </si>
  <si>
    <t>University of North Ca</t>
  </si>
  <si>
    <t>384874741013</t>
  </si>
  <si>
    <t>00000091006062869915</t>
  </si>
  <si>
    <t>DENTAL FACULTY PRACTIC</t>
  </si>
  <si>
    <t>000051327178</t>
  </si>
  <si>
    <t>00000091005966003037</t>
  </si>
  <si>
    <t>000016652954</t>
  </si>
  <si>
    <t>00000091005967542247</t>
  </si>
  <si>
    <t>100205544478</t>
  </si>
  <si>
    <t>00000091005969090464</t>
  </si>
  <si>
    <t>384873909046</t>
  </si>
  <si>
    <t>00000091006062841643</t>
  </si>
  <si>
    <t>HUMANA PATH</t>
  </si>
  <si>
    <t>CIGNA PATH</t>
  </si>
  <si>
    <t>BCBS Healthy Blue</t>
  </si>
  <si>
    <t>1982632915</t>
  </si>
  <si>
    <t>561883003</t>
  </si>
  <si>
    <t>WELLCARE OS</t>
  </si>
  <si>
    <t>MEDICARE PATH</t>
  </si>
  <si>
    <t>UHC CFC</t>
  </si>
  <si>
    <t>UMR PATH</t>
  </si>
  <si>
    <t>UHC PATH</t>
  </si>
  <si>
    <t>UHC RAD</t>
  </si>
  <si>
    <t>BCBS PATH</t>
  </si>
  <si>
    <t>BCBS OS</t>
  </si>
  <si>
    <t>ACH #</t>
  </si>
  <si>
    <t>174661877251217</t>
  </si>
  <si>
    <t>251216090041866</t>
  </si>
  <si>
    <t>25351B100002016800</t>
  </si>
  <si>
    <t>25351B100002804100</t>
  </si>
  <si>
    <t>3400336577</t>
  </si>
  <si>
    <t>899390214</t>
  </si>
  <si>
    <t>25351B1000902218</t>
  </si>
  <si>
    <t>25351B1000910780</t>
  </si>
  <si>
    <t>25351B1000945021</t>
  </si>
  <si>
    <t>CL19910120649755344603492</t>
  </si>
  <si>
    <t>U5105158</t>
  </si>
  <si>
    <t>W344983593</t>
  </si>
  <si>
    <t>1002376522</t>
  </si>
  <si>
    <t>AETNA PATH</t>
  </si>
  <si>
    <t>Dental Faculty Practic</t>
  </si>
  <si>
    <t>882535001072711</t>
  </si>
  <si>
    <t>25352B100001692500</t>
  </si>
  <si>
    <t>BCBS RAD</t>
  </si>
  <si>
    <t>25352B100008689400</t>
  </si>
  <si>
    <t>BCBS CFC</t>
  </si>
  <si>
    <t>25352B100016193700</t>
  </si>
  <si>
    <t>7137348</t>
  </si>
  <si>
    <t>899393708</t>
  </si>
  <si>
    <t>MEDICARE OS</t>
  </si>
  <si>
    <t>UNIVERSITY OF NORTH CA</t>
  </si>
  <si>
    <t>899393709</t>
  </si>
  <si>
    <t>UMR CFC</t>
  </si>
  <si>
    <t>CN20912120147225346041931</t>
  </si>
  <si>
    <t>U5180134</t>
  </si>
  <si>
    <t>CCH PATH</t>
  </si>
  <si>
    <t>UNC ORAL &amp; MAXILLOFACI</t>
  </si>
  <si>
    <t>0901132832</t>
  </si>
  <si>
    <t>CCH RAD</t>
  </si>
  <si>
    <t>0901133252</t>
  </si>
  <si>
    <t>CCH OS</t>
  </si>
  <si>
    <t>0901133366</t>
  </si>
  <si>
    <t>HUMANA RAD</t>
  </si>
  <si>
    <t>174937584251221</t>
  </si>
  <si>
    <t>825352000191114</t>
  </si>
  <si>
    <t>AETNA GEN</t>
  </si>
  <si>
    <t>882535101046046</t>
  </si>
  <si>
    <t>25353B100001921200</t>
  </si>
  <si>
    <t>25353B100009682500</t>
  </si>
  <si>
    <t>25354B100001524500</t>
  </si>
  <si>
    <t>899397743</t>
  </si>
  <si>
    <t>899397744</t>
  </si>
  <si>
    <t>25353B1000419393</t>
  </si>
  <si>
    <t>47943242</t>
  </si>
  <si>
    <t>CN95515119380305349303601</t>
  </si>
  <si>
    <t>U5251125</t>
  </si>
  <si>
    <t>WELLCARE RAD</t>
  </si>
  <si>
    <t>1002381416</t>
  </si>
  <si>
    <t>CCH CFC</t>
  </si>
  <si>
    <t>0901136028</t>
  </si>
  <si>
    <t>AETNA SLEEP MED</t>
  </si>
  <si>
    <t>ORAL &amp; MAXILLOFACIAL P</t>
  </si>
  <si>
    <t>602300851703</t>
  </si>
  <si>
    <t>25363B100007625300</t>
  </si>
  <si>
    <t>3401226444</t>
  </si>
  <si>
    <t>7165953</t>
  </si>
  <si>
    <t>75123797</t>
  </si>
  <si>
    <t>899410895</t>
  </si>
  <si>
    <t>CK95922124067895356223993</t>
  </si>
  <si>
    <t>F3457598</t>
  </si>
  <si>
    <t>W346100992</t>
  </si>
  <si>
    <t>0900130010</t>
  </si>
  <si>
    <t>TRILLIUM OS</t>
  </si>
  <si>
    <t>175235273251227</t>
  </si>
  <si>
    <t>175235274251227</t>
  </si>
  <si>
    <t>175339016251228</t>
  </si>
  <si>
    <t>175339017251228</t>
  </si>
  <si>
    <t>175339018251228</t>
  </si>
  <si>
    <t>825359000105241</t>
  </si>
  <si>
    <t>825359000105243</t>
  </si>
  <si>
    <t>AETNA RAD</t>
  </si>
  <si>
    <t>825359000106819</t>
  </si>
  <si>
    <t>882535701050271</t>
  </si>
  <si>
    <t>BCBS SLEEP MED</t>
  </si>
  <si>
    <t>25360B100001719200</t>
  </si>
  <si>
    <t>25360B100002539400</t>
  </si>
  <si>
    <t>25360B100009500500</t>
  </si>
  <si>
    <t>25360B100015700300</t>
  </si>
  <si>
    <t>25360B100016508400</t>
  </si>
  <si>
    <t>25360B100016697700</t>
  </si>
  <si>
    <t>7162085</t>
  </si>
  <si>
    <t>899407280</t>
  </si>
  <si>
    <t>AARP PATH</t>
  </si>
  <si>
    <t>11371533398</t>
  </si>
  <si>
    <t>25359B1000430461</t>
  </si>
  <si>
    <t>25359B1000449258</t>
  </si>
  <si>
    <t>25360B1000398495</t>
  </si>
  <si>
    <t>25360B1000808574</t>
  </si>
  <si>
    <t>UHC OS</t>
  </si>
  <si>
    <t>F3456079</t>
  </si>
  <si>
    <t>U5578450</t>
  </si>
  <si>
    <t>0901141424</t>
  </si>
  <si>
    <t>0901141546</t>
  </si>
  <si>
    <t>175056644251224</t>
  </si>
  <si>
    <t>603601171032</t>
  </si>
  <si>
    <t>BCBS of NC</t>
  </si>
  <si>
    <t>25358B100001315500</t>
  </si>
  <si>
    <t>BCBSNC ASO</t>
  </si>
  <si>
    <t>25358B100006164600</t>
  </si>
  <si>
    <t>BCBSNC Host</t>
  </si>
  <si>
    <t>25358B100009672200</t>
  </si>
  <si>
    <t>25358B100010437000</t>
  </si>
  <si>
    <t>25359B100002187100</t>
  </si>
  <si>
    <t>25359B100008230500</t>
  </si>
  <si>
    <t>25359B100012116800</t>
  </si>
  <si>
    <t>25359B100012989300</t>
  </si>
  <si>
    <t>25359B100013177600</t>
  </si>
  <si>
    <t>899401969</t>
  </si>
  <si>
    <t>899401970</t>
  </si>
  <si>
    <t>25358B1000918316</t>
  </si>
  <si>
    <t>25358B1000924404</t>
  </si>
  <si>
    <t>U5445356</t>
  </si>
  <si>
    <t>UH88200031013321244397862</t>
  </si>
  <si>
    <t>UHC SLEEP MED</t>
  </si>
  <si>
    <t>W345722067</t>
  </si>
  <si>
    <t>W345722068</t>
  </si>
  <si>
    <t>1002388667</t>
  </si>
  <si>
    <t>WELLCARE PATH</t>
  </si>
  <si>
    <t>ORAL AND MAXILLOFACIAL</t>
  </si>
  <si>
    <t>1002389284</t>
  </si>
  <si>
    <t>0901138217</t>
  </si>
  <si>
    <t>0901138902</t>
  </si>
  <si>
    <t>25357B100001711500</t>
  </si>
  <si>
    <t>25357B100007538900</t>
  </si>
  <si>
    <t>7155567</t>
  </si>
  <si>
    <t>GEHA UMR</t>
  </si>
  <si>
    <t>CN17417121929295351700914</t>
  </si>
  <si>
    <t>F3444264</t>
  </si>
  <si>
    <t>HUMANA SP CARE</t>
  </si>
  <si>
    <t>TRILLIUM PATH</t>
  </si>
  <si>
    <t>ACH#</t>
  </si>
  <si>
    <t>174972252251222</t>
  </si>
  <si>
    <t>825354000021189</t>
  </si>
  <si>
    <t>825354000022646</t>
  </si>
  <si>
    <t>882535201066061</t>
  </si>
  <si>
    <t>882535301095828</t>
  </si>
  <si>
    <t>25356B100009398300</t>
  </si>
  <si>
    <t>25356B100010388400</t>
  </si>
  <si>
    <t>7142124</t>
  </si>
  <si>
    <t>W345399943</t>
  </si>
  <si>
    <t>0900127705</t>
  </si>
  <si>
    <t>0900128141</t>
  </si>
  <si>
    <t>Auto</t>
  </si>
  <si>
    <t xml:space="preserve">Manual </t>
  </si>
  <si>
    <t>Row Labels</t>
  </si>
  <si>
    <t>Grand Total</t>
  </si>
  <si>
    <t>Count of Remittance Type</t>
  </si>
  <si>
    <t>Column Labels</t>
  </si>
  <si>
    <t>UNC ORAL &amp; MAXILL</t>
  </si>
  <si>
    <t>UNC ORAL &amp; MAXILL PATH</t>
  </si>
  <si>
    <t>SOD OS</t>
  </si>
  <si>
    <t xml:space="preserve">AETNA </t>
  </si>
  <si>
    <t xml:space="preserve">CIGNA </t>
  </si>
  <si>
    <t xml:space="preserve">BCBS </t>
  </si>
  <si>
    <t xml:space="preserve">MEDICARE </t>
  </si>
  <si>
    <t xml:space="preserve">UMR </t>
  </si>
  <si>
    <t xml:space="preserve">UHC </t>
  </si>
  <si>
    <t xml:space="preserve">TRILLIUM </t>
  </si>
  <si>
    <t xml:space="preserve">HUMANA </t>
  </si>
  <si>
    <t xml:space="preserve">AARP </t>
  </si>
  <si>
    <t xml:space="preserve">CCH </t>
  </si>
  <si>
    <t>BCBS</t>
  </si>
  <si>
    <t xml:space="preserve">WELLCARE </t>
  </si>
  <si>
    <t xml:space="preserve">GEHA </t>
  </si>
  <si>
    <t xml:space="preserve">HUMANA  </t>
  </si>
  <si>
    <t>Amount</t>
  </si>
  <si>
    <t xml:space="preserve"> Date</t>
  </si>
  <si>
    <t>Department</t>
  </si>
  <si>
    <t>Count of Amount</t>
  </si>
  <si>
    <t>HUMANA</t>
  </si>
  <si>
    <t>Payments Made</t>
  </si>
  <si>
    <t xml:space="preserve"> </t>
  </si>
  <si>
    <t>Payer</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</si>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</sst>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indexed="12"/>
      <name val="Calibri"/>
      <family val="2"/>
    </font>
  </fonts>
  <fills count="8">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9" tint="0.79998168889431442"/>
        <bgColor theme="9" tint="0.79998168889431442"/>
      </patternFill>
    </fill>
    <fill>
      <patternFill patternType="solid">
        <fgColor rgb="FFFFFF00"/>
        <bgColor theme="9" tint="0.79998168889431442"/>
      </patternFill>
    </fill>
    <fill>
      <patternFill patternType="solid">
        <fgColor rgb="FFFFFF00"/>
        <bgColor indexed="64"/>
      </patternFill>
    </fill>
    <fill>
      <patternFill patternType="solid">
        <fgColor theme="7"/>
        <bgColor indexed="64"/>
      </patternFill>
    </fill>
  </fills>
  <borders count="15">
    <border>
      <left/>
      <right/>
      <top/>
      <bottom/>
      <diagonal/>
    </border>
    <border>
      <left/>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6">
    <xf numFmtId="0" fontId="0" fillId="0" borderId="0" xfId="0"/>
    <xf numFmtId="4" fontId="0" fillId="0" borderId="0" xfId="0" applyNumberFormat="1" applyAlignment="1">
      <alignment horizontal="right" indent="2"/>
    </xf>
    <xf numFmtId="0" fontId="2" fillId="2" borderId="1" xfId="0" applyFont="1" applyFill="1" applyBorder="1"/>
    <xf numFmtId="0" fontId="1" fillId="2" borderId="0" xfId="0" applyFont="1" applyFill="1"/>
    <xf numFmtId="49" fontId="0" fillId="0" borderId="0" xfId="0" applyNumberFormat="1" applyAlignment="1">
      <alignment horizontal="left"/>
    </xf>
    <xf numFmtId="49" fontId="0" fillId="0" borderId="0" xfId="0" applyNumberFormat="1" applyAlignment="1">
      <alignment horizontal="center"/>
    </xf>
    <xf numFmtId="0" fontId="2" fillId="2" borderId="2" xfId="0" applyFont="1" applyFill="1" applyBorder="1"/>
    <xf numFmtId="0" fontId="2" fillId="2" borderId="3" xfId="0" applyFont="1" applyFill="1" applyBorder="1"/>
    <xf numFmtId="49" fontId="2" fillId="2" borderId="4" xfId="0" applyNumberFormat="1" applyFont="1" applyFill="1" applyBorder="1" applyAlignment="1">
      <alignment horizontal="center"/>
    </xf>
    <xf numFmtId="0" fontId="0" fillId="3" borderId="5" xfId="0" applyFill="1" applyBorder="1"/>
    <xf numFmtId="4" fontId="0" fillId="3" borderId="6" xfId="0" applyNumberFormat="1" applyFill="1" applyBorder="1" applyAlignment="1">
      <alignment horizontal="right" indent="2"/>
    </xf>
    <xf numFmtId="49" fontId="0" fillId="3" borderId="6" xfId="0" applyNumberFormat="1" applyFill="1" applyBorder="1" applyAlignment="1">
      <alignment horizontal="left"/>
    </xf>
    <xf numFmtId="0" fontId="0" fillId="3" borderId="6" xfId="0" applyFill="1" applyBorder="1"/>
    <xf numFmtId="49" fontId="0" fillId="3" borderId="7" xfId="0" applyNumberFormat="1" applyFill="1" applyBorder="1" applyAlignment="1">
      <alignment horizontal="center"/>
    </xf>
    <xf numFmtId="0" fontId="0" fillId="3" borderId="8" xfId="0" applyFill="1" applyBorder="1"/>
    <xf numFmtId="4" fontId="0" fillId="3" borderId="0" xfId="0" applyNumberFormat="1" applyFill="1" applyAlignment="1">
      <alignment horizontal="right" indent="2"/>
    </xf>
    <xf numFmtId="49" fontId="0" fillId="3" borderId="0" xfId="0" applyNumberFormat="1" applyFill="1" applyAlignment="1">
      <alignment horizontal="left"/>
    </xf>
    <xf numFmtId="0" fontId="0" fillId="3" borderId="0" xfId="0" applyFill="1"/>
    <xf numFmtId="49" fontId="0" fillId="3" borderId="9" xfId="0" applyNumberFormat="1" applyFill="1" applyBorder="1" applyAlignment="1">
      <alignment horizontal="center"/>
    </xf>
    <xf numFmtId="0" fontId="0" fillId="3" borderId="10" xfId="0" applyFill="1" applyBorder="1"/>
    <xf numFmtId="4" fontId="0" fillId="3" borderId="11" xfId="0" applyNumberFormat="1" applyFill="1" applyBorder="1" applyAlignment="1">
      <alignment horizontal="right" indent="2"/>
    </xf>
    <xf numFmtId="49" fontId="0" fillId="3" borderId="11" xfId="0" applyNumberFormat="1" applyFill="1" applyBorder="1" applyAlignment="1">
      <alignment horizontal="left"/>
    </xf>
    <xf numFmtId="0" fontId="0" fillId="3" borderId="11" xfId="0" applyFill="1" applyBorder="1"/>
    <xf numFmtId="49" fontId="0" fillId="3" borderId="12" xfId="0" applyNumberFormat="1" applyFill="1" applyBorder="1" applyAlignment="1">
      <alignment horizontal="center"/>
    </xf>
    <xf numFmtId="14" fontId="0" fillId="0" borderId="0" xfId="0" applyNumberFormat="1"/>
    <xf numFmtId="0" fontId="0" fillId="4" borderId="13" xfId="0" applyFill="1" applyBorder="1"/>
    <xf numFmtId="0" fontId="0" fillId="0" borderId="1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14" xfId="0" applyFill="1" applyBorder="1"/>
    <xf numFmtId="0" fontId="0" fillId="0" borderId="14" xfId="0" applyBorder="1"/>
    <xf numFmtId="0" fontId="0" fillId="5" borderId="13" xfId="0" applyFill="1" applyBorder="1"/>
    <xf numFmtId="0" fontId="0" fillId="6" borderId="13" xfId="0" applyFill="1" applyBorder="1"/>
    <xf numFmtId="0" fontId="0" fillId="0" borderId="0" xfId="0" applyNumberFormat="1"/>
    <xf numFmtId="0" fontId="0" fillId="7" borderId="0" xfId="0" applyFill="1"/>
  </cellXfs>
  <cellStyles count="1">
    <cellStyle name="Normal" xfId="0" builtinId="0"/>
  </cellStyles>
  <dxfs count="8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12-19-25.xlsx]Sheet3!PivotTable4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 vs Manual</a:t>
            </a:r>
            <a:r>
              <a:rPr lang="en-US" baseline="0"/>
              <a:t> </a:t>
            </a:r>
            <a:r>
              <a:rPr lang="en-US"/>
              <a:t>EFT Payments Made by Payer Per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17492296396961E-2"/>
          <c:y val="0.15518378194357504"/>
          <c:w val="0.73919054096032932"/>
          <c:h val="0.41608839927884866"/>
        </c:manualLayout>
      </c:layout>
      <c:barChart>
        <c:barDir val="col"/>
        <c:grouping val="stacked"/>
        <c:varyColors val="0"/>
        <c:ser>
          <c:idx val="0"/>
          <c:order val="0"/>
          <c:tx>
            <c:strRef>
              <c:f>Sheet3!$B$3:$B$4</c:f>
              <c:strCache>
                <c:ptCount val="1"/>
                <c:pt idx="0">
                  <c:v>Auto</c:v>
                </c:pt>
              </c:strCache>
            </c:strRef>
          </c:tx>
          <c:spPr>
            <a:solidFill>
              <a:schemeClr val="accent1"/>
            </a:solidFill>
            <a:ln>
              <a:noFill/>
            </a:ln>
            <a:effectLst/>
          </c:spPr>
          <c:invertIfNegative val="0"/>
          <c:cat>
            <c:multiLvlStrRef>
              <c:f>Sheet3!$A$5:$A$45</c:f>
              <c:multiLvlStrCache>
                <c:ptCount val="35"/>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lvl>
                <c:lvl>
                  <c:pt idx="0">
                    <c:v>DENTAL FACULTY PRACTIC</c:v>
                  </c:pt>
                  <c:pt idx="16">
                    <c:v>SOD OS</c:v>
                  </c:pt>
                  <c:pt idx="17">
                    <c:v>UNC CRANIOFACIAL CENTE</c:v>
                  </c:pt>
                  <c:pt idx="22">
                    <c:v>UNC ORAL &amp; MAXILL</c:v>
                  </c:pt>
                  <c:pt idx="28">
                    <c:v>UNC ORAL &amp; MAXILL PATH</c:v>
                  </c:pt>
                </c:lvl>
              </c:multiLvlStrCache>
            </c:multiLvlStrRef>
          </c:cat>
          <c:val>
            <c:numRef>
              <c:f>Sheet3!$B$5:$B$45</c:f>
              <c:numCache>
                <c:formatCode>General</c:formatCode>
                <c:ptCount val="35"/>
                <c:pt idx="0">
                  <c:v>1</c:v>
                </c:pt>
                <c:pt idx="1">
                  <c:v>7</c:v>
                </c:pt>
                <c:pt idx="3">
                  <c:v>3</c:v>
                </c:pt>
                <c:pt idx="4">
                  <c:v>11</c:v>
                </c:pt>
                <c:pt idx="7">
                  <c:v>1</c:v>
                </c:pt>
                <c:pt idx="9">
                  <c:v>7</c:v>
                </c:pt>
                <c:pt idx="11">
                  <c:v>6</c:v>
                </c:pt>
                <c:pt idx="13">
                  <c:v>14</c:v>
                </c:pt>
                <c:pt idx="17">
                  <c:v>3</c:v>
                </c:pt>
                <c:pt idx="18">
                  <c:v>4</c:v>
                </c:pt>
                <c:pt idx="22">
                  <c:v>4</c:v>
                </c:pt>
                <c:pt idx="23">
                  <c:v>8</c:v>
                </c:pt>
                <c:pt idx="25">
                  <c:v>4</c:v>
                </c:pt>
                <c:pt idx="28">
                  <c:v>5</c:v>
                </c:pt>
                <c:pt idx="29">
                  <c:v>2</c:v>
                </c:pt>
                <c:pt idx="30">
                  <c:v>4</c:v>
                </c:pt>
                <c:pt idx="31">
                  <c:v>1</c:v>
                </c:pt>
                <c:pt idx="32">
                  <c:v>7</c:v>
                </c:pt>
                <c:pt idx="33">
                  <c:v>3</c:v>
                </c:pt>
                <c:pt idx="34">
                  <c:v>1</c:v>
                </c:pt>
              </c:numCache>
            </c:numRef>
          </c:val>
          <c:extLst>
            <c:ext xmlns:c16="http://schemas.microsoft.com/office/drawing/2014/chart" uri="{C3380CC4-5D6E-409C-BE32-E72D297353CC}">
              <c16:uniqueId val="{00000000-0021-4BA4-A147-B40472312A7E}"/>
            </c:ext>
          </c:extLst>
        </c:ser>
        <c:ser>
          <c:idx val="1"/>
          <c:order val="1"/>
          <c:tx>
            <c:strRef>
              <c:f>Sheet3!$C$3:$C$4</c:f>
              <c:strCache>
                <c:ptCount val="1"/>
                <c:pt idx="0">
                  <c:v>Manual </c:v>
                </c:pt>
              </c:strCache>
            </c:strRef>
          </c:tx>
          <c:spPr>
            <a:solidFill>
              <a:schemeClr val="accent3"/>
            </a:solidFill>
            <a:ln>
              <a:noFill/>
            </a:ln>
            <a:effectLst/>
          </c:spPr>
          <c:invertIfNegative val="0"/>
          <c:cat>
            <c:multiLvlStrRef>
              <c:f>Sheet3!$A$5:$A$45</c:f>
              <c:multiLvlStrCache>
                <c:ptCount val="35"/>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lvl>
                <c:lvl>
                  <c:pt idx="0">
                    <c:v>DENTAL FACULTY PRACTIC</c:v>
                  </c:pt>
                  <c:pt idx="16">
                    <c:v>SOD OS</c:v>
                  </c:pt>
                  <c:pt idx="17">
                    <c:v>UNC CRANIOFACIAL CENTE</c:v>
                  </c:pt>
                  <c:pt idx="22">
                    <c:v>UNC ORAL &amp; MAXILL</c:v>
                  </c:pt>
                  <c:pt idx="28">
                    <c:v>UNC ORAL &amp; MAXILL PATH</c:v>
                  </c:pt>
                </c:lvl>
              </c:multiLvlStrCache>
            </c:multiLvlStrRef>
          </c:cat>
          <c:val>
            <c:numRef>
              <c:f>Sheet3!$C$5:$C$45</c:f>
              <c:numCache>
                <c:formatCode>General</c:formatCode>
                <c:ptCount val="35"/>
                <c:pt idx="2">
                  <c:v>2</c:v>
                </c:pt>
                <c:pt idx="5">
                  <c:v>4</c:v>
                </c:pt>
                <c:pt idx="6">
                  <c:v>2</c:v>
                </c:pt>
                <c:pt idx="8">
                  <c:v>1</c:v>
                </c:pt>
                <c:pt idx="10">
                  <c:v>1</c:v>
                </c:pt>
                <c:pt idx="12">
                  <c:v>1</c:v>
                </c:pt>
                <c:pt idx="14">
                  <c:v>1</c:v>
                </c:pt>
                <c:pt idx="15">
                  <c:v>2</c:v>
                </c:pt>
                <c:pt idx="16">
                  <c:v>1</c:v>
                </c:pt>
                <c:pt idx="19">
                  <c:v>1</c:v>
                </c:pt>
                <c:pt idx="20">
                  <c:v>2</c:v>
                </c:pt>
                <c:pt idx="21">
                  <c:v>1</c:v>
                </c:pt>
                <c:pt idx="24">
                  <c:v>3</c:v>
                </c:pt>
                <c:pt idx="26">
                  <c:v>2</c:v>
                </c:pt>
                <c:pt idx="27">
                  <c:v>1</c:v>
                </c:pt>
              </c:numCache>
            </c:numRef>
          </c:val>
          <c:extLst>
            <c:ext xmlns:c16="http://schemas.microsoft.com/office/drawing/2014/chart" uri="{C3380CC4-5D6E-409C-BE32-E72D297353CC}">
              <c16:uniqueId val="{00000001-4530-46B0-A3D4-B3045144EBF6}"/>
            </c:ext>
          </c:extLst>
        </c:ser>
        <c:dLbls>
          <c:showLegendKey val="0"/>
          <c:showVal val="0"/>
          <c:showCatName val="0"/>
          <c:showSerName val="0"/>
          <c:showPercent val="0"/>
          <c:showBubbleSize val="0"/>
        </c:dLbls>
        <c:gapWidth val="150"/>
        <c:overlap val="100"/>
        <c:axId val="712666063"/>
        <c:axId val="712666543"/>
      </c:barChart>
      <c:catAx>
        <c:axId val="7126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543"/>
        <c:crosses val="autoZero"/>
        <c:auto val="1"/>
        <c:lblAlgn val="ctr"/>
        <c:lblOffset val="100"/>
        <c:noMultiLvlLbl val="0"/>
      </c:catAx>
      <c:valAx>
        <c:axId val="71266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063"/>
        <c:crosses val="autoZero"/>
        <c:crossBetween val="between"/>
      </c:valAx>
      <c:spPr>
        <a:noFill/>
        <a:ln>
          <a:noFill/>
        </a:ln>
        <a:effectLst/>
      </c:spPr>
    </c:plotArea>
    <c:legend>
      <c:legendPos val="r"/>
      <c:layout>
        <c:manualLayout>
          <c:xMode val="edge"/>
          <c:yMode val="edge"/>
          <c:x val="0.87196897521006533"/>
          <c:y val="0.77297093093488822"/>
          <c:w val="5.054903114747393E-2"/>
          <c:h val="9.3168353955755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12-19-25.xlsx]Sheet6!PivotTable6</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EFT Payments Made</a:t>
            </a:r>
            <a:r>
              <a:rPr lang="en-US" baseline="0"/>
              <a:t> Per Department</a:t>
            </a:r>
            <a:endParaRPr lang="en-US"/>
          </a:p>
        </c:rich>
      </c:tx>
      <c:layout>
        <c:manualLayout>
          <c:xMode val="edge"/>
          <c:yMode val="edge"/>
          <c:x val="0.16447296770995387"/>
          <c:y val="8.919887423710590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1668416447944006"/>
          <c:y val="0.24939596092155147"/>
          <c:w val="0.41147353455818025"/>
          <c:h val="0.68578922426363376"/>
        </c:manualLayout>
      </c:layout>
      <c:pieChart>
        <c:varyColors val="1"/>
        <c:ser>
          <c:idx val="0"/>
          <c:order val="0"/>
          <c:tx>
            <c:strRef>
              <c:f>Sheet6!$B$3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85B-432A-B311-C80675B6169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85B-432A-B311-C80675B6169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85B-432A-B311-C80675B6169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85B-432A-B311-C80675B61690}"/>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85B-432A-B311-C80675B61690}"/>
              </c:ext>
            </c:extLst>
          </c:dPt>
          <c:dLbls>
            <c:dLbl>
              <c:idx val="1"/>
              <c:layout>
                <c:manualLayout>
                  <c:x val="3.8956692913385826E-2"/>
                  <c:y val="-0.152019174686497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5B-432A-B311-C80675B616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Sheet6!$A$4:$A$9</c:f>
              <c:strCache>
                <c:ptCount val="5"/>
                <c:pt idx="0">
                  <c:v>DENTAL FACULTY PRACTIC</c:v>
                </c:pt>
                <c:pt idx="1">
                  <c:v>SOD OS</c:v>
                </c:pt>
                <c:pt idx="2">
                  <c:v>UNC CRANIOFACIAL CENTE</c:v>
                </c:pt>
                <c:pt idx="3">
                  <c:v>UNC ORAL &amp; MAXILL</c:v>
                </c:pt>
                <c:pt idx="4">
                  <c:v>UNC ORAL &amp; MAXILL PATH</c:v>
                </c:pt>
              </c:strCache>
            </c:strRef>
          </c:cat>
          <c:val>
            <c:numRef>
              <c:f>Sheet6!$B$4:$B$9</c:f>
              <c:numCache>
                <c:formatCode>General</c:formatCode>
                <c:ptCount val="5"/>
                <c:pt idx="0">
                  <c:v>64</c:v>
                </c:pt>
                <c:pt idx="1">
                  <c:v>1</c:v>
                </c:pt>
                <c:pt idx="2">
                  <c:v>11</c:v>
                </c:pt>
                <c:pt idx="3">
                  <c:v>22</c:v>
                </c:pt>
                <c:pt idx="4">
                  <c:v>23</c:v>
                </c:pt>
              </c:numCache>
            </c:numRef>
          </c:val>
          <c:extLst>
            <c:ext xmlns:c16="http://schemas.microsoft.com/office/drawing/2014/chart" uri="{C3380CC4-5D6E-409C-BE32-E72D297353CC}">
              <c16:uniqueId val="{0000000A-D85B-432A-B311-C80675B61690}"/>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058933865979465"/>
          <c:y val="0.38060654182933018"/>
          <c:w val="0.18975061877516744"/>
          <c:h val="0.36939353169089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12-19-25.xlsx]Sheet9!PivotTable9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Number of Payments Made By Insurance Payer</a:t>
            </a:r>
            <a:endParaRPr lang="en-US"/>
          </a:p>
        </c:rich>
      </c:tx>
      <c:layout>
        <c:manualLayout>
          <c:xMode val="edge"/>
          <c:yMode val="edge"/>
          <c:x val="0.19714554358866063"/>
          <c:y val="0.1568627253278980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642622258424592E-2"/>
          <c:y val="0.2307802830385341"/>
          <c:w val="0.71967920676582098"/>
          <c:h val="0.48655197681567414"/>
        </c:manualLayout>
      </c:layout>
      <c:bar3DChart>
        <c:barDir val="col"/>
        <c:grouping val="stacked"/>
        <c:varyColors val="0"/>
        <c:ser>
          <c:idx val="0"/>
          <c:order val="0"/>
          <c:tx>
            <c:strRef>
              <c:f>Sheet9!$B$3:$B$4</c:f>
              <c:strCache>
                <c:ptCount val="1"/>
                <c:pt idx="0">
                  <c:v>DENTAL FACULTY PRACTIC</c:v>
                </c:pt>
              </c:strCache>
            </c:strRef>
          </c:tx>
          <c:spPr>
            <a:solidFill>
              <a:schemeClr val="accent1"/>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Sheet9!$B$5:$B$23</c:f>
              <c:numCache>
                <c:formatCode>General</c:formatCode>
                <c:ptCount val="18"/>
                <c:pt idx="0">
                  <c:v>1</c:v>
                </c:pt>
                <c:pt idx="1">
                  <c:v>7</c:v>
                </c:pt>
                <c:pt idx="2">
                  <c:v>2</c:v>
                </c:pt>
                <c:pt idx="3">
                  <c:v>3</c:v>
                </c:pt>
                <c:pt idx="4">
                  <c:v>11</c:v>
                </c:pt>
                <c:pt idx="5">
                  <c:v>4</c:v>
                </c:pt>
                <c:pt idx="6">
                  <c:v>2</c:v>
                </c:pt>
                <c:pt idx="8">
                  <c:v>1</c:v>
                </c:pt>
                <c:pt idx="9">
                  <c:v>1</c:v>
                </c:pt>
                <c:pt idx="10">
                  <c:v>7</c:v>
                </c:pt>
                <c:pt idx="11">
                  <c:v>1</c:v>
                </c:pt>
                <c:pt idx="12">
                  <c:v>6</c:v>
                </c:pt>
                <c:pt idx="13">
                  <c:v>1</c:v>
                </c:pt>
                <c:pt idx="14">
                  <c:v>14</c:v>
                </c:pt>
                <c:pt idx="15">
                  <c:v>1</c:v>
                </c:pt>
                <c:pt idx="17">
                  <c:v>2</c:v>
                </c:pt>
              </c:numCache>
            </c:numRef>
          </c:val>
          <c:extLst>
            <c:ext xmlns:c16="http://schemas.microsoft.com/office/drawing/2014/chart" uri="{C3380CC4-5D6E-409C-BE32-E72D297353CC}">
              <c16:uniqueId val="{00000000-FC87-4414-B2B9-F1E9B7EA7D69}"/>
            </c:ext>
          </c:extLst>
        </c:ser>
        <c:ser>
          <c:idx val="1"/>
          <c:order val="1"/>
          <c:tx>
            <c:strRef>
              <c:f>Sheet9!$C$3:$C$4</c:f>
              <c:strCache>
                <c:ptCount val="1"/>
                <c:pt idx="0">
                  <c:v>SOD OS</c:v>
                </c:pt>
              </c:strCache>
            </c:strRef>
          </c:tx>
          <c:spPr>
            <a:solidFill>
              <a:schemeClr val="accent2"/>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Sheet9!$C$5:$C$23</c:f>
              <c:numCache>
                <c:formatCode>General</c:formatCode>
                <c:ptCount val="18"/>
                <c:pt idx="14">
                  <c:v>1</c:v>
                </c:pt>
              </c:numCache>
            </c:numRef>
          </c:val>
          <c:extLst>
            <c:ext xmlns:c16="http://schemas.microsoft.com/office/drawing/2014/chart" uri="{C3380CC4-5D6E-409C-BE32-E72D297353CC}">
              <c16:uniqueId val="{00000001-FC87-4414-B2B9-F1E9B7EA7D69}"/>
            </c:ext>
          </c:extLst>
        </c:ser>
        <c:ser>
          <c:idx val="2"/>
          <c:order val="2"/>
          <c:tx>
            <c:strRef>
              <c:f>Sheet9!$D$3:$D$4</c:f>
              <c:strCache>
                <c:ptCount val="1"/>
                <c:pt idx="0">
                  <c:v>UNC CRANIOFACIAL CENTE</c:v>
                </c:pt>
              </c:strCache>
            </c:strRef>
          </c:tx>
          <c:spPr>
            <a:solidFill>
              <a:schemeClr val="accent3"/>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Sheet9!$D$5:$D$23</c:f>
              <c:numCache>
                <c:formatCode>General</c:formatCode>
                <c:ptCount val="18"/>
                <c:pt idx="3">
                  <c:v>3</c:v>
                </c:pt>
                <c:pt idx="4">
                  <c:v>4</c:v>
                </c:pt>
                <c:pt idx="6">
                  <c:v>1</c:v>
                </c:pt>
                <c:pt idx="14">
                  <c:v>2</c:v>
                </c:pt>
                <c:pt idx="16">
                  <c:v>1</c:v>
                </c:pt>
              </c:numCache>
            </c:numRef>
          </c:val>
          <c:extLst>
            <c:ext xmlns:c16="http://schemas.microsoft.com/office/drawing/2014/chart" uri="{C3380CC4-5D6E-409C-BE32-E72D297353CC}">
              <c16:uniqueId val="{00000002-FC87-4414-B2B9-F1E9B7EA7D69}"/>
            </c:ext>
          </c:extLst>
        </c:ser>
        <c:ser>
          <c:idx val="3"/>
          <c:order val="3"/>
          <c:tx>
            <c:strRef>
              <c:f>Sheet9!$E$3:$E$4</c:f>
              <c:strCache>
                <c:ptCount val="1"/>
                <c:pt idx="0">
                  <c:v>UNC ORAL &amp; MAXILL</c:v>
                </c:pt>
              </c:strCache>
            </c:strRef>
          </c:tx>
          <c:spPr>
            <a:solidFill>
              <a:schemeClr val="accent4"/>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Sheet9!$E$5:$E$23</c:f>
              <c:numCache>
                <c:formatCode>General</c:formatCode>
                <c:ptCount val="18"/>
                <c:pt idx="3">
                  <c:v>4</c:v>
                </c:pt>
                <c:pt idx="4">
                  <c:v>8</c:v>
                </c:pt>
                <c:pt idx="6">
                  <c:v>3</c:v>
                </c:pt>
                <c:pt idx="12">
                  <c:v>4</c:v>
                </c:pt>
                <c:pt idx="13">
                  <c:v>2</c:v>
                </c:pt>
                <c:pt idx="17">
                  <c:v>1</c:v>
                </c:pt>
              </c:numCache>
            </c:numRef>
          </c:val>
          <c:extLst>
            <c:ext xmlns:c16="http://schemas.microsoft.com/office/drawing/2014/chart" uri="{C3380CC4-5D6E-409C-BE32-E72D297353CC}">
              <c16:uniqueId val="{00000003-FC87-4414-B2B9-F1E9B7EA7D69}"/>
            </c:ext>
          </c:extLst>
        </c:ser>
        <c:ser>
          <c:idx val="4"/>
          <c:order val="4"/>
          <c:tx>
            <c:strRef>
              <c:f>Sheet9!$F$3:$F$4</c:f>
              <c:strCache>
                <c:ptCount val="1"/>
                <c:pt idx="0">
                  <c:v>UNC ORAL &amp; MAXILL PATH</c:v>
                </c:pt>
              </c:strCache>
            </c:strRef>
          </c:tx>
          <c:spPr>
            <a:solidFill>
              <a:schemeClr val="accent5"/>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Sheet9!$F$5:$F$23</c:f>
              <c:numCache>
                <c:formatCode>General</c:formatCode>
                <c:ptCount val="18"/>
                <c:pt idx="1">
                  <c:v>5</c:v>
                </c:pt>
                <c:pt idx="6">
                  <c:v>2</c:v>
                </c:pt>
                <c:pt idx="7">
                  <c:v>4</c:v>
                </c:pt>
                <c:pt idx="13">
                  <c:v>1</c:v>
                </c:pt>
                <c:pt idx="14">
                  <c:v>7</c:v>
                </c:pt>
                <c:pt idx="16">
                  <c:v>3</c:v>
                </c:pt>
                <c:pt idx="17">
                  <c:v>1</c:v>
                </c:pt>
              </c:numCache>
            </c:numRef>
          </c:val>
          <c:extLst>
            <c:ext xmlns:c16="http://schemas.microsoft.com/office/drawing/2014/chart" uri="{C3380CC4-5D6E-409C-BE32-E72D297353CC}">
              <c16:uniqueId val="{00000004-FC87-4414-B2B9-F1E9B7EA7D69}"/>
            </c:ext>
          </c:extLst>
        </c:ser>
        <c:dLbls>
          <c:showLegendKey val="0"/>
          <c:showVal val="0"/>
          <c:showCatName val="0"/>
          <c:showSerName val="0"/>
          <c:showPercent val="0"/>
          <c:showBubbleSize val="0"/>
        </c:dLbls>
        <c:gapWidth val="150"/>
        <c:shape val="box"/>
        <c:axId val="505765903"/>
        <c:axId val="505762063"/>
        <c:axId val="0"/>
      </c:bar3DChart>
      <c:catAx>
        <c:axId val="505765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Insurance Payer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063"/>
        <c:crosses val="autoZero"/>
        <c:auto val="1"/>
        <c:lblAlgn val="ctr"/>
        <c:lblOffset val="100"/>
        <c:noMultiLvlLbl val="0"/>
      </c:catAx>
      <c:valAx>
        <c:axId val="505762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Payments</a:t>
                </a:r>
                <a:r>
                  <a:rPr lang="en-US" baseline="0"/>
                  <a:t> Made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12-19-25.xlsx]Sheet10!PivotTable10</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Auto</a:t>
            </a:r>
            <a:r>
              <a:rPr lang="en-US" sz="1600" baseline="0"/>
              <a:t> vs Manual Remits by Department</a:t>
            </a:r>
            <a:endParaRPr lang="en-US" sz="1600"/>
          </a:p>
        </c:rich>
      </c:tx>
      <c:layout>
        <c:manualLayout>
          <c:xMode val="edge"/>
          <c:yMode val="edge"/>
          <c:x val="0.14589924394579559"/>
          <c:y val="4.166666666666666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72112860892389"/>
          <c:y val="0.17532188684747738"/>
          <c:w val="0.35757961504811897"/>
          <c:h val="0.62968613298337706"/>
        </c:manualLayout>
      </c:layout>
      <c:bar3DChart>
        <c:barDir val="bar"/>
        <c:grouping val="clustered"/>
        <c:varyColors val="0"/>
        <c:ser>
          <c:idx val="0"/>
          <c:order val="0"/>
          <c:tx>
            <c:strRef>
              <c:f>Sheet10!$B$3:$B$4</c:f>
              <c:strCache>
                <c:ptCount val="1"/>
                <c:pt idx="0">
                  <c:v>Auto</c:v>
                </c:pt>
              </c:strCache>
            </c:strRef>
          </c:tx>
          <c:spPr>
            <a:solidFill>
              <a:schemeClr val="accent1"/>
            </a:solidFill>
            <a:ln>
              <a:noFill/>
            </a:ln>
            <a:effectLst/>
            <a:sp3d/>
          </c:spPr>
          <c:invertIfNegative val="0"/>
          <c:cat>
            <c:strRef>
              <c:f>Sheet10!$A$5:$A$10</c:f>
              <c:strCache>
                <c:ptCount val="5"/>
                <c:pt idx="0">
                  <c:v>DENTAL FACULTY PRACTIC</c:v>
                </c:pt>
                <c:pt idx="1">
                  <c:v>SOD OS</c:v>
                </c:pt>
                <c:pt idx="2">
                  <c:v>UNC CRANIOFACIAL CENTE</c:v>
                </c:pt>
                <c:pt idx="3">
                  <c:v>UNC ORAL &amp; MAXILL</c:v>
                </c:pt>
                <c:pt idx="4">
                  <c:v>UNC ORAL &amp; MAXILL PATH</c:v>
                </c:pt>
              </c:strCache>
            </c:strRef>
          </c:cat>
          <c:val>
            <c:numRef>
              <c:f>Sheet10!$B$5:$B$10</c:f>
              <c:numCache>
                <c:formatCode>General</c:formatCode>
                <c:ptCount val="5"/>
                <c:pt idx="0">
                  <c:v>50</c:v>
                </c:pt>
                <c:pt idx="2">
                  <c:v>7</c:v>
                </c:pt>
                <c:pt idx="3">
                  <c:v>16</c:v>
                </c:pt>
                <c:pt idx="4">
                  <c:v>23</c:v>
                </c:pt>
              </c:numCache>
            </c:numRef>
          </c:val>
          <c:extLst>
            <c:ext xmlns:c16="http://schemas.microsoft.com/office/drawing/2014/chart" uri="{C3380CC4-5D6E-409C-BE32-E72D297353CC}">
              <c16:uniqueId val="{00000001-BC58-4CDF-94A9-951546A64B4E}"/>
            </c:ext>
          </c:extLst>
        </c:ser>
        <c:ser>
          <c:idx val="1"/>
          <c:order val="1"/>
          <c:tx>
            <c:strRef>
              <c:f>Sheet10!$C$3:$C$4</c:f>
              <c:strCache>
                <c:ptCount val="1"/>
                <c:pt idx="0">
                  <c:v>Manual </c:v>
                </c:pt>
              </c:strCache>
            </c:strRef>
          </c:tx>
          <c:spPr>
            <a:solidFill>
              <a:schemeClr val="accent2"/>
            </a:solidFill>
            <a:ln>
              <a:noFill/>
            </a:ln>
            <a:effectLst/>
            <a:sp3d/>
          </c:spPr>
          <c:invertIfNegative val="0"/>
          <c:cat>
            <c:strRef>
              <c:f>Sheet10!$A$5:$A$10</c:f>
              <c:strCache>
                <c:ptCount val="5"/>
                <c:pt idx="0">
                  <c:v>DENTAL FACULTY PRACTIC</c:v>
                </c:pt>
                <c:pt idx="1">
                  <c:v>SOD OS</c:v>
                </c:pt>
                <c:pt idx="2">
                  <c:v>UNC CRANIOFACIAL CENTE</c:v>
                </c:pt>
                <c:pt idx="3">
                  <c:v>UNC ORAL &amp; MAXILL</c:v>
                </c:pt>
                <c:pt idx="4">
                  <c:v>UNC ORAL &amp; MAXILL PATH</c:v>
                </c:pt>
              </c:strCache>
            </c:strRef>
          </c:cat>
          <c:val>
            <c:numRef>
              <c:f>Sheet10!$C$5:$C$10</c:f>
              <c:numCache>
                <c:formatCode>General</c:formatCode>
                <c:ptCount val="5"/>
                <c:pt idx="0">
                  <c:v>14</c:v>
                </c:pt>
                <c:pt idx="1">
                  <c:v>1</c:v>
                </c:pt>
                <c:pt idx="2">
                  <c:v>4</c:v>
                </c:pt>
                <c:pt idx="3">
                  <c:v>6</c:v>
                </c:pt>
              </c:numCache>
            </c:numRef>
          </c:val>
          <c:extLst>
            <c:ext xmlns:c16="http://schemas.microsoft.com/office/drawing/2014/chart" uri="{C3380CC4-5D6E-409C-BE32-E72D297353CC}">
              <c16:uniqueId val="{00000003-BC58-4CDF-94A9-951546A64B4E}"/>
            </c:ext>
          </c:extLst>
        </c:ser>
        <c:dLbls>
          <c:showLegendKey val="0"/>
          <c:showVal val="0"/>
          <c:showCatName val="0"/>
          <c:showSerName val="0"/>
          <c:showPercent val="0"/>
          <c:showBubbleSize val="0"/>
        </c:dLbls>
        <c:gapWidth val="150"/>
        <c:shape val="box"/>
        <c:axId val="710697167"/>
        <c:axId val="710698127"/>
        <c:axId val="0"/>
      </c:bar3DChart>
      <c:catAx>
        <c:axId val="71069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0698127"/>
        <c:crosses val="autoZero"/>
        <c:auto val="1"/>
        <c:lblAlgn val="ctr"/>
        <c:lblOffset val="100"/>
        <c:noMultiLvlLbl val="0"/>
      </c:catAx>
      <c:valAx>
        <c:axId val="71069812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Paid</a:t>
            </a:r>
            <a:r>
              <a:rPr lang="en-US" baseline="0"/>
              <a:t> per Payor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solidFill>
              <a:schemeClr val="accent1"/>
            </a:solidFill>
            <a:ln>
              <a:noFill/>
            </a:ln>
            <a:effectLst/>
            <a:sp3d/>
          </c:spPr>
          <c:invertIfNegative val="0"/>
          <c:cat>
            <c:strRef>
              <c:f>Sheet1!$A$4:$A$22</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Sheet1!$B$4:$B$22</c:f>
              <c:numCache>
                <c:formatCode>General</c:formatCode>
                <c:ptCount val="18"/>
                <c:pt idx="0">
                  <c:v>25.1</c:v>
                </c:pt>
                <c:pt idx="1">
                  <c:v>2810.9300000000003</c:v>
                </c:pt>
                <c:pt idx="2">
                  <c:v>5018.95</c:v>
                </c:pt>
                <c:pt idx="3">
                  <c:v>4148.1799999999994</c:v>
                </c:pt>
                <c:pt idx="4">
                  <c:v>17861.779999999995</c:v>
                </c:pt>
                <c:pt idx="5">
                  <c:v>5641.57</c:v>
                </c:pt>
                <c:pt idx="6">
                  <c:v>906.01</c:v>
                </c:pt>
                <c:pt idx="7">
                  <c:v>1601.0000000000002</c:v>
                </c:pt>
                <c:pt idx="8">
                  <c:v>108.24</c:v>
                </c:pt>
                <c:pt idx="9">
                  <c:v>133.09</c:v>
                </c:pt>
                <c:pt idx="10">
                  <c:v>1301.02</c:v>
                </c:pt>
                <c:pt idx="11">
                  <c:v>85</c:v>
                </c:pt>
                <c:pt idx="12">
                  <c:v>4073.6200000000003</c:v>
                </c:pt>
                <c:pt idx="13">
                  <c:v>2611.44</c:v>
                </c:pt>
                <c:pt idx="14">
                  <c:v>3219.6499999999992</c:v>
                </c:pt>
                <c:pt idx="15">
                  <c:v>130</c:v>
                </c:pt>
                <c:pt idx="16">
                  <c:v>605.79</c:v>
                </c:pt>
                <c:pt idx="17">
                  <c:v>2641.5</c:v>
                </c:pt>
              </c:numCache>
            </c:numRef>
          </c:val>
          <c:extLst>
            <c:ext xmlns:c16="http://schemas.microsoft.com/office/drawing/2014/chart" uri="{C3380CC4-5D6E-409C-BE32-E72D297353CC}">
              <c16:uniqueId val="{00000000-6354-49FA-9C01-3C96EF9826E1}"/>
            </c:ext>
          </c:extLst>
        </c:ser>
        <c:dLbls>
          <c:showLegendKey val="0"/>
          <c:showVal val="0"/>
          <c:showCatName val="0"/>
          <c:showSerName val="0"/>
          <c:showPercent val="0"/>
          <c:showBubbleSize val="0"/>
        </c:dLbls>
        <c:gapWidth val="150"/>
        <c:shape val="box"/>
        <c:axId val="1093962319"/>
        <c:axId val="1093957999"/>
        <c:axId val="0"/>
      </c:bar3DChart>
      <c:catAx>
        <c:axId val="109396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57999"/>
        <c:crosses val="autoZero"/>
        <c:auto val="1"/>
        <c:lblAlgn val="ctr"/>
        <c:lblOffset val="100"/>
        <c:noMultiLvlLbl val="0"/>
      </c:catAx>
      <c:valAx>
        <c:axId val="10939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6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12-19-25.xlsx]Sheet6!PivotTable6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Payments Made</a:t>
            </a:r>
            <a:r>
              <a:rPr lang="en-US" baseline="0"/>
              <a:t> Per Department</a:t>
            </a:r>
            <a:endParaRPr lang="en-US"/>
          </a:p>
        </c:rich>
      </c:tx>
      <c:layout>
        <c:manualLayout>
          <c:xMode val="edge"/>
          <c:yMode val="edge"/>
          <c:x val="0.25764566929133859"/>
          <c:y val="4.064596092155147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3.8956692913385826E-2"/>
              <c:y val="-0.152019174686497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668416447944006"/>
          <c:y val="0.24939596092155147"/>
          <c:w val="0.41147353455818025"/>
          <c:h val="0.68578922426363376"/>
        </c:manualLayout>
      </c:layout>
      <c:pieChart>
        <c:varyColors val="1"/>
        <c:ser>
          <c:idx val="0"/>
          <c:order val="0"/>
          <c:tx>
            <c:strRef>
              <c:f>Sheet6!$B$3</c:f>
              <c:strCache>
                <c:ptCount val="1"/>
                <c:pt idx="0">
                  <c:v>Total</c:v>
                </c:pt>
              </c:strCache>
            </c:strRef>
          </c:tx>
          <c:dPt>
            <c:idx val="0"/>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2-8A3B-43B7-B20A-31C13AE88143}"/>
              </c:ext>
            </c:extLst>
          </c:dPt>
          <c:dPt>
            <c:idx val="1"/>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6-8A3B-43B7-B20A-31C13AE88143}"/>
              </c:ext>
            </c:extLst>
          </c:dPt>
          <c:dPt>
            <c:idx val="2"/>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5-8A3B-43B7-B20A-31C13AE88143}"/>
              </c:ext>
            </c:extLst>
          </c:dPt>
          <c:dPt>
            <c:idx val="3"/>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4-8A3B-43B7-B20A-31C13AE88143}"/>
              </c:ext>
            </c:extLst>
          </c:dPt>
          <c:dPt>
            <c:idx val="4"/>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03-8A3B-43B7-B20A-31C13AE88143}"/>
              </c:ext>
            </c:extLst>
          </c:dPt>
          <c:dLbls>
            <c:dLbl>
              <c:idx val="1"/>
              <c:layout>
                <c:manualLayout>
                  <c:x val="3.8956692913385826E-2"/>
                  <c:y val="-0.1520191746864975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A3B-43B7-B20A-31C13AE881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Sheet6!$A$4:$A$9</c:f>
              <c:strCache>
                <c:ptCount val="5"/>
                <c:pt idx="0">
                  <c:v>DENTAL FACULTY PRACTIC</c:v>
                </c:pt>
                <c:pt idx="1">
                  <c:v>SOD OS</c:v>
                </c:pt>
                <c:pt idx="2">
                  <c:v>UNC CRANIOFACIAL CENTE</c:v>
                </c:pt>
                <c:pt idx="3">
                  <c:v>UNC ORAL &amp; MAXILL</c:v>
                </c:pt>
                <c:pt idx="4">
                  <c:v>UNC ORAL &amp; MAXILL PATH</c:v>
                </c:pt>
              </c:strCache>
            </c:strRef>
          </c:cat>
          <c:val>
            <c:numRef>
              <c:f>Sheet6!$B$4:$B$9</c:f>
              <c:numCache>
                <c:formatCode>General</c:formatCode>
                <c:ptCount val="5"/>
                <c:pt idx="0">
                  <c:v>64</c:v>
                </c:pt>
                <c:pt idx="1">
                  <c:v>1</c:v>
                </c:pt>
                <c:pt idx="2">
                  <c:v>11</c:v>
                </c:pt>
                <c:pt idx="3">
                  <c:v>22</c:v>
                </c:pt>
                <c:pt idx="4">
                  <c:v>23</c:v>
                </c:pt>
              </c:numCache>
            </c:numRef>
          </c:val>
          <c:extLst>
            <c:ext xmlns:c16="http://schemas.microsoft.com/office/drawing/2014/chart" uri="{C3380CC4-5D6E-409C-BE32-E72D297353CC}">
              <c16:uniqueId val="{00000000-8A3B-43B7-B20A-31C13AE8814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12-19-25.xlsx]Sheet3!PivotTable4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Sheet3!$B$3:$B$4</c:f>
              <c:strCache>
                <c:ptCount val="1"/>
                <c:pt idx="0">
                  <c:v>Auto</c:v>
                </c:pt>
              </c:strCache>
            </c:strRef>
          </c:tx>
          <c:spPr>
            <a:solidFill>
              <a:schemeClr val="accent1"/>
            </a:solidFill>
            <a:ln>
              <a:noFill/>
            </a:ln>
            <a:effectLst/>
          </c:spPr>
          <c:invertIfNegative val="0"/>
          <c:cat>
            <c:multiLvlStrRef>
              <c:f>Sheet3!$A$5:$A$45</c:f>
              <c:multiLvlStrCache>
                <c:ptCount val="35"/>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lvl>
                <c:lvl>
                  <c:pt idx="0">
                    <c:v>DENTAL FACULTY PRACTIC</c:v>
                  </c:pt>
                  <c:pt idx="16">
                    <c:v>SOD OS</c:v>
                  </c:pt>
                  <c:pt idx="17">
                    <c:v>UNC CRANIOFACIAL CENTE</c:v>
                  </c:pt>
                  <c:pt idx="22">
                    <c:v>UNC ORAL &amp; MAXILL</c:v>
                  </c:pt>
                  <c:pt idx="28">
                    <c:v>UNC ORAL &amp; MAXILL PATH</c:v>
                  </c:pt>
                </c:lvl>
              </c:multiLvlStrCache>
            </c:multiLvlStrRef>
          </c:cat>
          <c:val>
            <c:numRef>
              <c:f>Sheet3!$B$5:$B$45</c:f>
              <c:numCache>
                <c:formatCode>General</c:formatCode>
                <c:ptCount val="35"/>
                <c:pt idx="0">
                  <c:v>1</c:v>
                </c:pt>
                <c:pt idx="1">
                  <c:v>7</c:v>
                </c:pt>
                <c:pt idx="3">
                  <c:v>3</c:v>
                </c:pt>
                <c:pt idx="4">
                  <c:v>11</c:v>
                </c:pt>
                <c:pt idx="7">
                  <c:v>1</c:v>
                </c:pt>
                <c:pt idx="9">
                  <c:v>7</c:v>
                </c:pt>
                <c:pt idx="11">
                  <c:v>6</c:v>
                </c:pt>
                <c:pt idx="13">
                  <c:v>14</c:v>
                </c:pt>
                <c:pt idx="17">
                  <c:v>3</c:v>
                </c:pt>
                <c:pt idx="18">
                  <c:v>4</c:v>
                </c:pt>
                <c:pt idx="22">
                  <c:v>4</c:v>
                </c:pt>
                <c:pt idx="23">
                  <c:v>8</c:v>
                </c:pt>
                <c:pt idx="25">
                  <c:v>4</c:v>
                </c:pt>
                <c:pt idx="28">
                  <c:v>5</c:v>
                </c:pt>
                <c:pt idx="29">
                  <c:v>2</c:v>
                </c:pt>
                <c:pt idx="30">
                  <c:v>4</c:v>
                </c:pt>
                <c:pt idx="31">
                  <c:v>1</c:v>
                </c:pt>
                <c:pt idx="32">
                  <c:v>7</c:v>
                </c:pt>
                <c:pt idx="33">
                  <c:v>3</c:v>
                </c:pt>
                <c:pt idx="34">
                  <c:v>1</c:v>
                </c:pt>
              </c:numCache>
            </c:numRef>
          </c:val>
          <c:extLst>
            <c:ext xmlns:c16="http://schemas.microsoft.com/office/drawing/2014/chart" uri="{C3380CC4-5D6E-409C-BE32-E72D297353CC}">
              <c16:uniqueId val="{00000000-8643-4BF0-8F2F-38F6B6A60EC5}"/>
            </c:ext>
          </c:extLst>
        </c:ser>
        <c:ser>
          <c:idx val="1"/>
          <c:order val="1"/>
          <c:tx>
            <c:strRef>
              <c:f>Sheet3!$C$3:$C$4</c:f>
              <c:strCache>
                <c:ptCount val="1"/>
                <c:pt idx="0">
                  <c:v>Manual </c:v>
                </c:pt>
              </c:strCache>
            </c:strRef>
          </c:tx>
          <c:spPr>
            <a:solidFill>
              <a:schemeClr val="accent2"/>
            </a:solidFill>
            <a:ln>
              <a:noFill/>
            </a:ln>
            <a:effectLst/>
          </c:spPr>
          <c:invertIfNegative val="0"/>
          <c:cat>
            <c:multiLvlStrRef>
              <c:f>Sheet3!$A$5:$A$45</c:f>
              <c:multiLvlStrCache>
                <c:ptCount val="35"/>
                <c:lvl>
                  <c:pt idx="0">
                    <c:v>AARP </c:v>
                  </c:pt>
                  <c:pt idx="1">
                    <c:v>AETNA </c:v>
                  </c:pt>
                  <c:pt idx="2">
                    <c:v>AETNA SLEEP MED</c:v>
                  </c:pt>
                  <c:pt idx="3">
                    <c:v>BCBS</c:v>
                  </c:pt>
                  <c:pt idx="4">
                    <c:v>BCBS </c:v>
                  </c:pt>
                  <c:pt idx="5">
                    <c:v>BCBS SLEEP MED</c:v>
                  </c:pt>
                  <c:pt idx="6">
                    <c:v>CCH </c:v>
                  </c:pt>
                  <c:pt idx="7">
                    <c:v>GEHA </c:v>
                  </c:pt>
                  <c:pt idx="8">
                    <c:v>HUMANA</c:v>
                  </c:pt>
                  <c:pt idx="9">
                    <c:v>HUMANA </c:v>
                  </c:pt>
                  <c:pt idx="10">
                    <c:v>HUMANA  </c:v>
                  </c:pt>
                  <c:pt idx="11">
                    <c:v>MEDICARE </c:v>
                  </c:pt>
                  <c:pt idx="12">
                    <c:v>TRILLIUM </c:v>
                  </c:pt>
                  <c:pt idx="13">
                    <c:v>UHC </c:v>
                  </c:pt>
                  <c:pt idx="14">
                    <c:v>UHC SLEEP MED</c:v>
                  </c:pt>
                  <c:pt idx="15">
                    <c:v>WELLCARE </c:v>
                  </c:pt>
                  <c:pt idx="16">
                    <c:v>UHC </c:v>
                  </c:pt>
                  <c:pt idx="17">
                    <c:v>BCBS</c:v>
                  </c:pt>
                  <c:pt idx="18">
                    <c:v>BCBS </c:v>
                  </c:pt>
                  <c:pt idx="19">
                    <c:v>CCH </c:v>
                  </c:pt>
                  <c:pt idx="20">
                    <c:v>UHC </c:v>
                  </c:pt>
                  <c:pt idx="21">
                    <c:v>UMR </c:v>
                  </c:pt>
                  <c:pt idx="22">
                    <c:v>BCBS</c:v>
                  </c:pt>
                  <c:pt idx="23">
                    <c:v>BCBS </c:v>
                  </c:pt>
                  <c:pt idx="24">
                    <c:v>CCH </c:v>
                  </c:pt>
                  <c:pt idx="25">
                    <c:v>MEDICARE </c:v>
                  </c:pt>
                  <c:pt idx="26">
                    <c:v>TRILLIUM </c:v>
                  </c:pt>
                  <c:pt idx="27">
                    <c:v>WELLCARE </c:v>
                  </c:pt>
                  <c:pt idx="28">
                    <c:v>AETNA </c:v>
                  </c:pt>
                  <c:pt idx="29">
                    <c:v>CCH </c:v>
                  </c:pt>
                  <c:pt idx="30">
                    <c:v>CIGNA </c:v>
                  </c:pt>
                  <c:pt idx="31">
                    <c:v>TRILLIUM </c:v>
                  </c:pt>
                  <c:pt idx="32">
                    <c:v>UHC </c:v>
                  </c:pt>
                  <c:pt idx="33">
                    <c:v>UMR </c:v>
                  </c:pt>
                  <c:pt idx="34">
                    <c:v>WELLCARE </c:v>
                  </c:pt>
                </c:lvl>
                <c:lvl>
                  <c:pt idx="0">
                    <c:v>DENTAL FACULTY PRACTIC</c:v>
                  </c:pt>
                  <c:pt idx="16">
                    <c:v>SOD OS</c:v>
                  </c:pt>
                  <c:pt idx="17">
                    <c:v>UNC CRANIOFACIAL CENTE</c:v>
                  </c:pt>
                  <c:pt idx="22">
                    <c:v>UNC ORAL &amp; MAXILL</c:v>
                  </c:pt>
                  <c:pt idx="28">
                    <c:v>UNC ORAL &amp; MAXILL PATH</c:v>
                  </c:pt>
                </c:lvl>
              </c:multiLvlStrCache>
            </c:multiLvlStrRef>
          </c:cat>
          <c:val>
            <c:numRef>
              <c:f>Sheet3!$C$5:$C$45</c:f>
              <c:numCache>
                <c:formatCode>General</c:formatCode>
                <c:ptCount val="35"/>
                <c:pt idx="2">
                  <c:v>2</c:v>
                </c:pt>
                <c:pt idx="5">
                  <c:v>4</c:v>
                </c:pt>
                <c:pt idx="6">
                  <c:v>2</c:v>
                </c:pt>
                <c:pt idx="8">
                  <c:v>1</c:v>
                </c:pt>
                <c:pt idx="10">
                  <c:v>1</c:v>
                </c:pt>
                <c:pt idx="12">
                  <c:v>1</c:v>
                </c:pt>
                <c:pt idx="14">
                  <c:v>1</c:v>
                </c:pt>
                <c:pt idx="15">
                  <c:v>2</c:v>
                </c:pt>
                <c:pt idx="16">
                  <c:v>1</c:v>
                </c:pt>
                <c:pt idx="19">
                  <c:v>1</c:v>
                </c:pt>
                <c:pt idx="20">
                  <c:v>2</c:v>
                </c:pt>
                <c:pt idx="21">
                  <c:v>1</c:v>
                </c:pt>
                <c:pt idx="24">
                  <c:v>3</c:v>
                </c:pt>
                <c:pt idx="26">
                  <c:v>2</c:v>
                </c:pt>
                <c:pt idx="27">
                  <c:v>1</c:v>
                </c:pt>
              </c:numCache>
            </c:numRef>
          </c:val>
          <c:extLst>
            <c:ext xmlns:c16="http://schemas.microsoft.com/office/drawing/2014/chart" uri="{C3380CC4-5D6E-409C-BE32-E72D297353CC}">
              <c16:uniqueId val="{00000000-31FD-4CCA-88D5-25DA0693C093}"/>
            </c:ext>
          </c:extLst>
        </c:ser>
        <c:dLbls>
          <c:showLegendKey val="0"/>
          <c:showVal val="0"/>
          <c:showCatName val="0"/>
          <c:showSerName val="0"/>
          <c:showPercent val="0"/>
          <c:showBubbleSize val="0"/>
        </c:dLbls>
        <c:gapWidth val="150"/>
        <c:overlap val="100"/>
        <c:axId val="712666063"/>
        <c:axId val="712666543"/>
      </c:barChart>
      <c:catAx>
        <c:axId val="7126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543"/>
        <c:crosses val="autoZero"/>
        <c:auto val="1"/>
        <c:lblAlgn val="ctr"/>
        <c:lblOffset val="100"/>
        <c:noMultiLvlLbl val="0"/>
      </c:catAx>
      <c:valAx>
        <c:axId val="71266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12-19-25.xlsx]Sheet9!PivotTable9</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Sheet9!$B$3:$B$4</c:f>
              <c:strCache>
                <c:ptCount val="1"/>
                <c:pt idx="0">
                  <c:v>DENTAL FACULTY PRACTIC</c:v>
                </c:pt>
              </c:strCache>
            </c:strRef>
          </c:tx>
          <c:spPr>
            <a:solidFill>
              <a:schemeClr val="accent1"/>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Sheet9!$B$5:$B$23</c:f>
              <c:numCache>
                <c:formatCode>General</c:formatCode>
                <c:ptCount val="18"/>
                <c:pt idx="0">
                  <c:v>1</c:v>
                </c:pt>
                <c:pt idx="1">
                  <c:v>7</c:v>
                </c:pt>
                <c:pt idx="2">
                  <c:v>2</c:v>
                </c:pt>
                <c:pt idx="3">
                  <c:v>3</c:v>
                </c:pt>
                <c:pt idx="4">
                  <c:v>11</c:v>
                </c:pt>
                <c:pt idx="5">
                  <c:v>4</c:v>
                </c:pt>
                <c:pt idx="6">
                  <c:v>2</c:v>
                </c:pt>
                <c:pt idx="8">
                  <c:v>1</c:v>
                </c:pt>
                <c:pt idx="9">
                  <c:v>1</c:v>
                </c:pt>
                <c:pt idx="10">
                  <c:v>7</c:v>
                </c:pt>
                <c:pt idx="11">
                  <c:v>1</c:v>
                </c:pt>
                <c:pt idx="12">
                  <c:v>6</c:v>
                </c:pt>
                <c:pt idx="13">
                  <c:v>1</c:v>
                </c:pt>
                <c:pt idx="14">
                  <c:v>14</c:v>
                </c:pt>
                <c:pt idx="15">
                  <c:v>1</c:v>
                </c:pt>
                <c:pt idx="17">
                  <c:v>2</c:v>
                </c:pt>
              </c:numCache>
            </c:numRef>
          </c:val>
          <c:extLst>
            <c:ext xmlns:c16="http://schemas.microsoft.com/office/drawing/2014/chart" uri="{C3380CC4-5D6E-409C-BE32-E72D297353CC}">
              <c16:uniqueId val="{00000000-401F-4A04-A157-BE5BC53CCCFF}"/>
            </c:ext>
          </c:extLst>
        </c:ser>
        <c:ser>
          <c:idx val="1"/>
          <c:order val="1"/>
          <c:tx>
            <c:strRef>
              <c:f>Sheet9!$C$3:$C$4</c:f>
              <c:strCache>
                <c:ptCount val="1"/>
                <c:pt idx="0">
                  <c:v>SOD OS</c:v>
                </c:pt>
              </c:strCache>
            </c:strRef>
          </c:tx>
          <c:spPr>
            <a:solidFill>
              <a:schemeClr val="accent2"/>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Sheet9!$C$5:$C$23</c:f>
              <c:numCache>
                <c:formatCode>General</c:formatCode>
                <c:ptCount val="18"/>
                <c:pt idx="14">
                  <c:v>1</c:v>
                </c:pt>
              </c:numCache>
            </c:numRef>
          </c:val>
          <c:extLst>
            <c:ext xmlns:c16="http://schemas.microsoft.com/office/drawing/2014/chart" uri="{C3380CC4-5D6E-409C-BE32-E72D297353CC}">
              <c16:uniqueId val="{00000013-401F-4A04-A157-BE5BC53CCCFF}"/>
            </c:ext>
          </c:extLst>
        </c:ser>
        <c:ser>
          <c:idx val="2"/>
          <c:order val="2"/>
          <c:tx>
            <c:strRef>
              <c:f>Sheet9!$D$3:$D$4</c:f>
              <c:strCache>
                <c:ptCount val="1"/>
                <c:pt idx="0">
                  <c:v>UNC CRANIOFACIAL CENTE</c:v>
                </c:pt>
              </c:strCache>
            </c:strRef>
          </c:tx>
          <c:spPr>
            <a:solidFill>
              <a:schemeClr val="accent3"/>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Sheet9!$D$5:$D$23</c:f>
              <c:numCache>
                <c:formatCode>General</c:formatCode>
                <c:ptCount val="18"/>
                <c:pt idx="3">
                  <c:v>3</c:v>
                </c:pt>
                <c:pt idx="4">
                  <c:v>4</c:v>
                </c:pt>
                <c:pt idx="6">
                  <c:v>1</c:v>
                </c:pt>
                <c:pt idx="14">
                  <c:v>2</c:v>
                </c:pt>
                <c:pt idx="16">
                  <c:v>1</c:v>
                </c:pt>
              </c:numCache>
            </c:numRef>
          </c:val>
          <c:extLst>
            <c:ext xmlns:c16="http://schemas.microsoft.com/office/drawing/2014/chart" uri="{C3380CC4-5D6E-409C-BE32-E72D297353CC}">
              <c16:uniqueId val="{00000014-401F-4A04-A157-BE5BC53CCCFF}"/>
            </c:ext>
          </c:extLst>
        </c:ser>
        <c:ser>
          <c:idx val="3"/>
          <c:order val="3"/>
          <c:tx>
            <c:strRef>
              <c:f>Sheet9!$E$3:$E$4</c:f>
              <c:strCache>
                <c:ptCount val="1"/>
                <c:pt idx="0">
                  <c:v>UNC ORAL &amp; MAXILL</c:v>
                </c:pt>
              </c:strCache>
            </c:strRef>
          </c:tx>
          <c:spPr>
            <a:solidFill>
              <a:schemeClr val="accent4"/>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Sheet9!$E$5:$E$23</c:f>
              <c:numCache>
                <c:formatCode>General</c:formatCode>
                <c:ptCount val="18"/>
                <c:pt idx="3">
                  <c:v>4</c:v>
                </c:pt>
                <c:pt idx="4">
                  <c:v>8</c:v>
                </c:pt>
                <c:pt idx="6">
                  <c:v>3</c:v>
                </c:pt>
                <c:pt idx="12">
                  <c:v>4</c:v>
                </c:pt>
                <c:pt idx="13">
                  <c:v>2</c:v>
                </c:pt>
                <c:pt idx="17">
                  <c:v>1</c:v>
                </c:pt>
              </c:numCache>
            </c:numRef>
          </c:val>
          <c:extLst>
            <c:ext xmlns:c16="http://schemas.microsoft.com/office/drawing/2014/chart" uri="{C3380CC4-5D6E-409C-BE32-E72D297353CC}">
              <c16:uniqueId val="{00000015-401F-4A04-A157-BE5BC53CCCFF}"/>
            </c:ext>
          </c:extLst>
        </c:ser>
        <c:ser>
          <c:idx val="4"/>
          <c:order val="4"/>
          <c:tx>
            <c:strRef>
              <c:f>Sheet9!$F$3:$F$4</c:f>
              <c:strCache>
                <c:ptCount val="1"/>
                <c:pt idx="0">
                  <c:v>UNC ORAL &amp; MAXILL PATH</c:v>
                </c:pt>
              </c:strCache>
            </c:strRef>
          </c:tx>
          <c:spPr>
            <a:solidFill>
              <a:schemeClr val="accent5"/>
            </a:solidFill>
            <a:ln>
              <a:noFill/>
            </a:ln>
            <a:effectLst/>
            <a:sp3d/>
          </c:spPr>
          <c:invertIfNegative val="0"/>
          <c:cat>
            <c:strRef>
              <c:f>Sheet9!$A$5:$A$23</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Sheet9!$F$5:$F$23</c:f>
              <c:numCache>
                <c:formatCode>General</c:formatCode>
                <c:ptCount val="18"/>
                <c:pt idx="1">
                  <c:v>5</c:v>
                </c:pt>
                <c:pt idx="6">
                  <c:v>2</c:v>
                </c:pt>
                <c:pt idx="7">
                  <c:v>4</c:v>
                </c:pt>
                <c:pt idx="13">
                  <c:v>1</c:v>
                </c:pt>
                <c:pt idx="14">
                  <c:v>7</c:v>
                </c:pt>
                <c:pt idx="16">
                  <c:v>3</c:v>
                </c:pt>
                <c:pt idx="17">
                  <c:v>1</c:v>
                </c:pt>
              </c:numCache>
            </c:numRef>
          </c:val>
          <c:extLst>
            <c:ext xmlns:c16="http://schemas.microsoft.com/office/drawing/2014/chart" uri="{C3380CC4-5D6E-409C-BE32-E72D297353CC}">
              <c16:uniqueId val="{00000016-401F-4A04-A157-BE5BC53CCCFF}"/>
            </c:ext>
          </c:extLst>
        </c:ser>
        <c:dLbls>
          <c:showLegendKey val="0"/>
          <c:showVal val="0"/>
          <c:showCatName val="0"/>
          <c:showSerName val="0"/>
          <c:showPercent val="0"/>
          <c:showBubbleSize val="0"/>
        </c:dLbls>
        <c:gapWidth val="150"/>
        <c:shape val="box"/>
        <c:axId val="505765903"/>
        <c:axId val="505762063"/>
        <c:axId val="0"/>
      </c:bar3DChart>
      <c:catAx>
        <c:axId val="50576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2063"/>
        <c:crosses val="autoZero"/>
        <c:auto val="1"/>
        <c:lblAlgn val="ctr"/>
        <c:lblOffset val="100"/>
        <c:noMultiLvlLbl val="0"/>
      </c:catAx>
      <c:valAx>
        <c:axId val="50576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76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12-19-25.xlsx]Sheet10!PivotTable10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a:t>
            </a:r>
            <a:r>
              <a:rPr lang="en-US" baseline="0"/>
              <a:t> vs Manual EFT Payments by Payer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772112860892389"/>
          <c:y val="0.17532188684747738"/>
          <c:w val="0.35757961504811897"/>
          <c:h val="0.62968613298337706"/>
        </c:manualLayout>
      </c:layout>
      <c:bar3DChart>
        <c:barDir val="bar"/>
        <c:grouping val="clustered"/>
        <c:varyColors val="0"/>
        <c:ser>
          <c:idx val="0"/>
          <c:order val="0"/>
          <c:tx>
            <c:strRef>
              <c:f>Sheet10!$B$3:$B$4</c:f>
              <c:strCache>
                <c:ptCount val="1"/>
                <c:pt idx="0">
                  <c:v>Auto</c:v>
                </c:pt>
              </c:strCache>
            </c:strRef>
          </c:tx>
          <c:spPr>
            <a:solidFill>
              <a:schemeClr val="accent1"/>
            </a:solidFill>
            <a:ln>
              <a:noFill/>
            </a:ln>
            <a:effectLst/>
            <a:sp3d/>
          </c:spPr>
          <c:invertIfNegative val="0"/>
          <c:cat>
            <c:strRef>
              <c:f>Sheet10!$A$5:$A$10</c:f>
              <c:strCache>
                <c:ptCount val="5"/>
                <c:pt idx="0">
                  <c:v>DENTAL FACULTY PRACTIC</c:v>
                </c:pt>
                <c:pt idx="1">
                  <c:v>SOD OS</c:v>
                </c:pt>
                <c:pt idx="2">
                  <c:v>UNC CRANIOFACIAL CENTE</c:v>
                </c:pt>
                <c:pt idx="3">
                  <c:v>UNC ORAL &amp; MAXILL</c:v>
                </c:pt>
                <c:pt idx="4">
                  <c:v>UNC ORAL &amp; MAXILL PATH</c:v>
                </c:pt>
              </c:strCache>
            </c:strRef>
          </c:cat>
          <c:val>
            <c:numRef>
              <c:f>Sheet10!$B$5:$B$10</c:f>
              <c:numCache>
                <c:formatCode>General</c:formatCode>
                <c:ptCount val="5"/>
                <c:pt idx="0">
                  <c:v>50</c:v>
                </c:pt>
                <c:pt idx="2">
                  <c:v>7</c:v>
                </c:pt>
                <c:pt idx="3">
                  <c:v>16</c:v>
                </c:pt>
                <c:pt idx="4">
                  <c:v>23</c:v>
                </c:pt>
              </c:numCache>
            </c:numRef>
          </c:val>
          <c:extLst>
            <c:ext xmlns:c16="http://schemas.microsoft.com/office/drawing/2014/chart" uri="{C3380CC4-5D6E-409C-BE32-E72D297353CC}">
              <c16:uniqueId val="{00000002-E28D-4C93-B8B1-A67506320CD0}"/>
            </c:ext>
          </c:extLst>
        </c:ser>
        <c:ser>
          <c:idx val="1"/>
          <c:order val="1"/>
          <c:tx>
            <c:strRef>
              <c:f>Sheet10!$C$3:$C$4</c:f>
              <c:strCache>
                <c:ptCount val="1"/>
                <c:pt idx="0">
                  <c:v>Manual </c:v>
                </c:pt>
              </c:strCache>
            </c:strRef>
          </c:tx>
          <c:spPr>
            <a:solidFill>
              <a:schemeClr val="accent2"/>
            </a:solidFill>
            <a:ln>
              <a:noFill/>
            </a:ln>
            <a:effectLst/>
            <a:sp3d/>
          </c:spPr>
          <c:invertIfNegative val="0"/>
          <c:cat>
            <c:strRef>
              <c:f>Sheet10!$A$5:$A$10</c:f>
              <c:strCache>
                <c:ptCount val="5"/>
                <c:pt idx="0">
                  <c:v>DENTAL FACULTY PRACTIC</c:v>
                </c:pt>
                <c:pt idx="1">
                  <c:v>SOD OS</c:v>
                </c:pt>
                <c:pt idx="2">
                  <c:v>UNC CRANIOFACIAL CENTE</c:v>
                </c:pt>
                <c:pt idx="3">
                  <c:v>UNC ORAL &amp; MAXILL</c:v>
                </c:pt>
                <c:pt idx="4">
                  <c:v>UNC ORAL &amp; MAXILL PATH</c:v>
                </c:pt>
              </c:strCache>
            </c:strRef>
          </c:cat>
          <c:val>
            <c:numRef>
              <c:f>Sheet10!$C$5:$C$10</c:f>
              <c:numCache>
                <c:formatCode>General</c:formatCode>
                <c:ptCount val="5"/>
                <c:pt idx="0">
                  <c:v>14</c:v>
                </c:pt>
                <c:pt idx="1">
                  <c:v>1</c:v>
                </c:pt>
                <c:pt idx="2">
                  <c:v>4</c:v>
                </c:pt>
                <c:pt idx="3">
                  <c:v>6</c:v>
                </c:pt>
              </c:numCache>
            </c:numRef>
          </c:val>
          <c:extLst>
            <c:ext xmlns:c16="http://schemas.microsoft.com/office/drawing/2014/chart" uri="{C3380CC4-5D6E-409C-BE32-E72D297353CC}">
              <c16:uniqueId val="{00000004-E28D-4C93-B8B1-A67506320CD0}"/>
            </c:ext>
          </c:extLst>
        </c:ser>
        <c:dLbls>
          <c:showLegendKey val="0"/>
          <c:showVal val="0"/>
          <c:showCatName val="0"/>
          <c:showSerName val="0"/>
          <c:showPercent val="0"/>
          <c:showBubbleSize val="0"/>
        </c:dLbls>
        <c:gapWidth val="150"/>
        <c:shape val="box"/>
        <c:axId val="710697167"/>
        <c:axId val="710698127"/>
        <c:axId val="0"/>
      </c:bar3DChart>
      <c:catAx>
        <c:axId val="710697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8127"/>
        <c:crosses val="autoZero"/>
        <c:auto val="1"/>
        <c:lblAlgn val="ctr"/>
        <c:lblOffset val="100"/>
        <c:noMultiLvlLbl val="0"/>
      </c:catAx>
      <c:valAx>
        <c:axId val="71069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6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[ACHs deposited 12-19-25.xlsx]Sheet1!PivotTable1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Sheet1!$B$3</c:f>
              <c:strCache>
                <c:ptCount val="1"/>
                <c:pt idx="0">
                  <c:v>Total</c:v>
                </c:pt>
              </c:strCache>
            </c:strRef>
          </c:tx>
          <c:spPr>
            <a:solidFill>
              <a:schemeClr val="accent1"/>
            </a:solidFill>
            <a:ln>
              <a:noFill/>
            </a:ln>
            <a:effectLst/>
            <a:sp3d/>
          </c:spPr>
          <c:invertIfNegative val="0"/>
          <c:cat>
            <c:strRef>
              <c:f>Sheet1!$A$4:$A$22</c:f>
              <c:strCache>
                <c:ptCount val="18"/>
                <c:pt idx="0">
                  <c:v>AARP </c:v>
                </c:pt>
                <c:pt idx="1">
                  <c:v>AETNA </c:v>
                </c:pt>
                <c:pt idx="2">
                  <c:v>AETNA SLEEP MED</c:v>
                </c:pt>
                <c:pt idx="3">
                  <c:v>BCBS</c:v>
                </c:pt>
                <c:pt idx="4">
                  <c:v>BCBS </c:v>
                </c:pt>
                <c:pt idx="5">
                  <c:v>BCBS SLEEP MED</c:v>
                </c:pt>
                <c:pt idx="6">
                  <c:v>CCH </c:v>
                </c:pt>
                <c:pt idx="7">
                  <c:v>CIGNA </c:v>
                </c:pt>
                <c:pt idx="8">
                  <c:v>GEHA </c:v>
                </c:pt>
                <c:pt idx="9">
                  <c:v>HUMANA</c:v>
                </c:pt>
                <c:pt idx="10">
                  <c:v>HUMANA </c:v>
                </c:pt>
                <c:pt idx="11">
                  <c:v>HUMANA  </c:v>
                </c:pt>
                <c:pt idx="12">
                  <c:v>MEDICARE </c:v>
                </c:pt>
                <c:pt idx="13">
                  <c:v>TRILLIUM </c:v>
                </c:pt>
                <c:pt idx="14">
                  <c:v>UHC </c:v>
                </c:pt>
                <c:pt idx="15">
                  <c:v>UHC SLEEP MED</c:v>
                </c:pt>
                <c:pt idx="16">
                  <c:v>UMR </c:v>
                </c:pt>
                <c:pt idx="17">
                  <c:v>WELLCARE </c:v>
                </c:pt>
              </c:strCache>
            </c:strRef>
          </c:cat>
          <c:val>
            <c:numRef>
              <c:f>Sheet1!$B$4:$B$22</c:f>
              <c:numCache>
                <c:formatCode>General</c:formatCode>
                <c:ptCount val="18"/>
                <c:pt idx="0">
                  <c:v>25.1</c:v>
                </c:pt>
                <c:pt idx="1">
                  <c:v>2810.9300000000003</c:v>
                </c:pt>
                <c:pt idx="2">
                  <c:v>5018.95</c:v>
                </c:pt>
                <c:pt idx="3">
                  <c:v>4148.1799999999994</c:v>
                </c:pt>
                <c:pt idx="4">
                  <c:v>17861.779999999995</c:v>
                </c:pt>
                <c:pt idx="5">
                  <c:v>5641.57</c:v>
                </c:pt>
                <c:pt idx="6">
                  <c:v>906.01</c:v>
                </c:pt>
                <c:pt idx="7">
                  <c:v>1601.0000000000002</c:v>
                </c:pt>
                <c:pt idx="8">
                  <c:v>108.24</c:v>
                </c:pt>
                <c:pt idx="9">
                  <c:v>133.09</c:v>
                </c:pt>
                <c:pt idx="10">
                  <c:v>1301.02</c:v>
                </c:pt>
                <c:pt idx="11">
                  <c:v>85</c:v>
                </c:pt>
                <c:pt idx="12">
                  <c:v>4073.6200000000003</c:v>
                </c:pt>
                <c:pt idx="13">
                  <c:v>2611.44</c:v>
                </c:pt>
                <c:pt idx="14">
                  <c:v>3219.6499999999992</c:v>
                </c:pt>
                <c:pt idx="15">
                  <c:v>130</c:v>
                </c:pt>
                <c:pt idx="16">
                  <c:v>605.79</c:v>
                </c:pt>
                <c:pt idx="17">
                  <c:v>2641.5</c:v>
                </c:pt>
              </c:numCache>
            </c:numRef>
          </c:val>
          <c:extLst>
            <c:ext xmlns:c16="http://schemas.microsoft.com/office/drawing/2014/chart" uri="{C3380CC4-5D6E-409C-BE32-E72D297353CC}">
              <c16:uniqueId val="{00000000-0399-4223-B037-9127CC085132}"/>
            </c:ext>
          </c:extLst>
        </c:ser>
        <c:dLbls>
          <c:showLegendKey val="0"/>
          <c:showVal val="0"/>
          <c:showCatName val="0"/>
          <c:showSerName val="0"/>
          <c:showPercent val="0"/>
          <c:showBubbleSize val="0"/>
        </c:dLbls>
        <c:gapWidth val="150"/>
        <c:shape val="box"/>
        <c:axId val="1093962319"/>
        <c:axId val="1093957999"/>
        <c:axId val="0"/>
      </c:bar3DChart>
      <c:catAx>
        <c:axId val="109396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57999"/>
        <c:crosses val="autoZero"/>
        <c:auto val="1"/>
        <c:lblAlgn val="ctr"/>
        <c:lblOffset val="100"/>
        <c:noMultiLvlLbl val="0"/>
      </c:catAx>
      <c:valAx>
        <c:axId val="10939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96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495300</xdr:colOff>
      <xdr:row>20</xdr:row>
      <xdr:rowOff>152399</xdr:rowOff>
    </xdr:from>
    <xdr:to>
      <xdr:col>24</xdr:col>
      <xdr:colOff>57150</xdr:colOff>
      <xdr:row>44</xdr:row>
      <xdr:rowOff>180974</xdr:rowOff>
    </xdr:to>
    <xdr:graphicFrame macro="">
      <xdr:nvGraphicFramePr>
        <xdr:cNvPr id="4" name="Chart 3">
          <a:extLst>
            <a:ext uri="{FF2B5EF4-FFF2-40B4-BE49-F238E27FC236}">
              <a16:creationId xmlns:a16="http://schemas.microsoft.com/office/drawing/2014/main" id="{DE826BCE-87FF-4DA1-A704-F87DEB717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12</xdr:col>
      <xdr:colOff>590549</xdr:colOff>
      <xdr:row>20</xdr:row>
      <xdr:rowOff>142875</xdr:rowOff>
    </xdr:to>
    <xdr:graphicFrame macro="">
      <xdr:nvGraphicFramePr>
        <xdr:cNvPr id="5" name="Chart 4">
          <a:extLst>
            <a:ext uri="{FF2B5EF4-FFF2-40B4-BE49-F238E27FC236}">
              <a16:creationId xmlns:a16="http://schemas.microsoft.com/office/drawing/2014/main" id="{4F9848A0-6340-4EE1-A1EC-F6C8A4CAF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428626</xdr:colOff>
      <xdr:row>32</xdr:row>
      <xdr:rowOff>0</xdr:rowOff>
    </xdr:from>
    <xdr:to>
      <xdr:col>23</xdr:col>
      <xdr:colOff>495300</xdr:colOff>
      <xdr:row>39</xdr:row>
      <xdr:rowOff>47624</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3AD86AF1-072B-3103-9662-645F90C734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180220" y="6096000"/>
              <a:ext cx="1281111" cy="1381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447673</xdr:colOff>
      <xdr:row>23</xdr:row>
      <xdr:rowOff>95250</xdr:rowOff>
    </xdr:from>
    <xdr:to>
      <xdr:col>23</xdr:col>
      <xdr:colOff>504824</xdr:colOff>
      <xdr:row>30</xdr:row>
      <xdr:rowOff>190498</xdr:rowOff>
    </xdr:to>
    <mc:AlternateContent xmlns:mc="http://schemas.openxmlformats.org/markup-compatibility/2006" xmlns:a14="http://schemas.microsoft.com/office/drawing/2010/main">
      <mc:Choice Requires="a14">
        <xdr:graphicFrame macro="">
          <xdr:nvGraphicFramePr>
            <xdr:cNvPr id="8" name="Payer">
              <a:extLst>
                <a:ext uri="{FF2B5EF4-FFF2-40B4-BE49-F238E27FC236}">
                  <a16:creationId xmlns:a16="http://schemas.microsoft.com/office/drawing/2014/main" id="{5802EC1E-F981-4464-AD0F-60A90639BAA8}"/>
                </a:ext>
              </a:extLst>
            </xdr:cNvPr>
            <xdr:cNvGraphicFramePr/>
          </xdr:nvGraphicFramePr>
          <xdr:xfrm>
            <a:off x="0" y="0"/>
            <a:ext cx="0" cy="0"/>
          </xdr:xfrm>
          <a:graphic>
            <a:graphicData uri="http://schemas.microsoft.com/office/drawing/2010/slicer">
              <sle:slicer xmlns:sle="http://schemas.microsoft.com/office/drawing/2010/slicer" name="Payer"/>
            </a:graphicData>
          </a:graphic>
        </xdr:graphicFrame>
      </mc:Choice>
      <mc:Fallback xmlns="">
        <xdr:sp macro="" textlink="">
          <xdr:nvSpPr>
            <xdr:cNvPr id="0" name=""/>
            <xdr:cNvSpPr>
              <a:spLocks noTextEdit="1"/>
            </xdr:cNvSpPr>
          </xdr:nvSpPr>
          <xdr:spPr>
            <a:xfrm>
              <a:off x="13199267" y="4476750"/>
              <a:ext cx="1271588" cy="1428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590550</xdr:colOff>
      <xdr:row>0</xdr:row>
      <xdr:rowOff>0</xdr:rowOff>
    </xdr:from>
    <xdr:to>
      <xdr:col>29</xdr:col>
      <xdr:colOff>171450</xdr:colOff>
      <xdr:row>20</xdr:row>
      <xdr:rowOff>157163</xdr:rowOff>
    </xdr:to>
    <xdr:graphicFrame macro="">
      <xdr:nvGraphicFramePr>
        <xdr:cNvPr id="9" name="Chart 8">
          <a:extLst>
            <a:ext uri="{FF2B5EF4-FFF2-40B4-BE49-F238E27FC236}">
              <a16:creationId xmlns:a16="http://schemas.microsoft.com/office/drawing/2014/main" id="{60F1AF1D-A7F8-4BC1-A295-21AD89035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142875</xdr:rowOff>
    </xdr:from>
    <xdr:to>
      <xdr:col>5</xdr:col>
      <xdr:colOff>504825</xdr:colOff>
      <xdr:row>44</xdr:row>
      <xdr:rowOff>142875</xdr:rowOff>
    </xdr:to>
    <xdr:graphicFrame macro="">
      <xdr:nvGraphicFramePr>
        <xdr:cNvPr id="10" name="Chart 9">
          <a:extLst>
            <a:ext uri="{FF2B5EF4-FFF2-40B4-BE49-F238E27FC236}">
              <a16:creationId xmlns:a16="http://schemas.microsoft.com/office/drawing/2014/main" id="{9017DCBB-2AC9-4ACD-8EF9-7D328C8A9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66675</xdr:colOff>
      <xdr:row>20</xdr:row>
      <xdr:rowOff>161924</xdr:rowOff>
    </xdr:from>
    <xdr:to>
      <xdr:col>29</xdr:col>
      <xdr:colOff>180975</xdr:colOff>
      <xdr:row>44</xdr:row>
      <xdr:rowOff>171449</xdr:rowOff>
    </xdr:to>
    <xdr:graphicFrame macro="">
      <xdr:nvGraphicFramePr>
        <xdr:cNvPr id="2" name="Chart 1">
          <a:extLst>
            <a:ext uri="{FF2B5EF4-FFF2-40B4-BE49-F238E27FC236}">
              <a16:creationId xmlns:a16="http://schemas.microsoft.com/office/drawing/2014/main" id="{A9E5AA74-8F4B-42A3-A512-53A6134CE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0.44217</cdr:x>
      <cdr:y>0.38434</cdr:y>
    </cdr:from>
    <cdr:to>
      <cdr:x>0.55783</cdr:x>
      <cdr:y>0.61566</cdr:y>
    </cdr:to>
    <cdr:sp macro="" textlink="">
      <cdr:nvSpPr>
        <cdr:cNvPr id="2" name="TextBox 1">
          <a:extLst xmlns:a="http://schemas.openxmlformats.org/drawingml/2006/main">
            <a:ext uri="{FF2B5EF4-FFF2-40B4-BE49-F238E27FC236}">
              <a16:creationId xmlns:a16="http://schemas.microsoft.com/office/drawing/2014/main" id="{7D5749BC-72F7-FC5D-BA63-4B07FFA184AD}"/>
            </a:ext>
          </a:extLst>
        </cdr:cNvPr>
        <cdr:cNvSpPr txBox="1"/>
      </cdr:nvSpPr>
      <cdr:spPr>
        <a:xfrm xmlns:a="http://schemas.openxmlformats.org/drawingml/2006/main">
          <a:off x="3495674" y="1519237"/>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0.0024</cdr:y>
    </cdr:from>
    <cdr:to>
      <cdr:x>0.6341</cdr:x>
      <cdr:y>0.11044</cdr:y>
    </cdr:to>
    <cdr:sp macro="" textlink="">
      <cdr:nvSpPr>
        <cdr:cNvPr id="2" name="TextBox 1">
          <a:extLst xmlns:a="http://schemas.openxmlformats.org/drawingml/2006/main">
            <a:ext uri="{FF2B5EF4-FFF2-40B4-BE49-F238E27FC236}">
              <a16:creationId xmlns:a16="http://schemas.microsoft.com/office/drawing/2014/main" id="{30AF0E30-0D8E-8899-E786-892389B3AEC1}"/>
            </a:ext>
          </a:extLst>
        </cdr:cNvPr>
        <cdr:cNvSpPr txBox="1"/>
      </cdr:nvSpPr>
      <cdr:spPr>
        <a:xfrm xmlns:a="http://schemas.openxmlformats.org/drawingml/2006/main">
          <a:off x="0" y="9525"/>
          <a:ext cx="6305550" cy="428625"/>
        </a:xfrm>
        <a:prstGeom xmlns:a="http://schemas.openxmlformats.org/drawingml/2006/main" prst="rect">
          <a:avLst/>
        </a:prstGeom>
        <a:solidFill xmlns:a="http://schemas.openxmlformats.org/drawingml/2006/main">
          <a:sysClr val="window" lastClr="FFFFFF"/>
        </a:solidFill>
      </cdr:spPr>
      <cdr:txBody>
        <a:bodyPr xmlns:a="http://schemas.openxmlformats.org/drawingml/2006/main" vertOverflow="clip" wrap="square" rtlCol="0"/>
        <a:lstStyle xmlns:a="http://schemas.openxmlformats.org/drawingml/2006/main"/>
        <a:p xmlns:a="http://schemas.openxmlformats.org/drawingml/2006/main">
          <a:pPr algn="ctr"/>
          <a:r>
            <a:rPr lang="en-US" sz="2400" kern="1200">
              <a:solidFill>
                <a:schemeClr val="accent5"/>
              </a:solidFill>
            </a:rPr>
            <a:t>Dec</a:t>
          </a:r>
          <a:r>
            <a:rPr lang="en-US" sz="2400" kern="1200" baseline="0">
              <a:solidFill>
                <a:schemeClr val="accent5"/>
              </a:solidFill>
            </a:rPr>
            <a:t> </a:t>
          </a:r>
          <a:r>
            <a:rPr lang="en-US" sz="2400" kern="1200">
              <a:solidFill>
                <a:schemeClr val="accent5"/>
              </a:solidFill>
            </a:rPr>
            <a:t>19 - Dec</a:t>
          </a:r>
          <a:r>
            <a:rPr lang="en-US" sz="2400" kern="1200" baseline="0">
              <a:solidFill>
                <a:schemeClr val="accent5"/>
              </a:solidFill>
            </a:rPr>
            <a:t> </a:t>
          </a:r>
          <a:r>
            <a:rPr lang="en-US" sz="2400" kern="1200">
              <a:solidFill>
                <a:schemeClr val="accent5"/>
              </a:solidFill>
            </a:rPr>
            <a:t>31</a:t>
          </a:r>
          <a:r>
            <a:rPr lang="en-US" sz="2400" kern="1200" baseline="0">
              <a:solidFill>
                <a:schemeClr val="accent5"/>
              </a:solidFill>
            </a:rPr>
            <a:t> </a:t>
          </a:r>
          <a:r>
            <a:rPr lang="en-US" sz="2400" kern="1200">
              <a:solidFill>
                <a:schemeClr val="accent5"/>
              </a:solidFill>
            </a:rPr>
            <a:t>2025 EFT PAYMENT</a:t>
          </a:r>
          <a:r>
            <a:rPr lang="en-US" sz="2400" kern="1200" baseline="0">
              <a:solidFill>
                <a:schemeClr val="accent5"/>
              </a:solidFill>
            </a:rPr>
            <a:t> DASHBOARD</a:t>
          </a:r>
          <a:endParaRPr lang="en-US" sz="2400" kern="1200">
            <a:solidFill>
              <a:schemeClr val="accent5"/>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5</xdr:col>
      <xdr:colOff>409575</xdr:colOff>
      <xdr:row>13</xdr:row>
      <xdr:rowOff>80962</xdr:rowOff>
    </xdr:from>
    <xdr:to>
      <xdr:col>13</xdr:col>
      <xdr:colOff>104775</xdr:colOff>
      <xdr:row>27</xdr:row>
      <xdr:rowOff>157162</xdr:rowOff>
    </xdr:to>
    <xdr:graphicFrame macro="">
      <xdr:nvGraphicFramePr>
        <xdr:cNvPr id="2" name="Chart 1">
          <a:extLst>
            <a:ext uri="{FF2B5EF4-FFF2-40B4-BE49-F238E27FC236}">
              <a16:creationId xmlns:a16="http://schemas.microsoft.com/office/drawing/2014/main" id="{31418C78-2655-7516-E0B1-70060AD24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590549</xdr:colOff>
      <xdr:row>2</xdr:row>
      <xdr:rowOff>142875</xdr:rowOff>
    </xdr:from>
    <xdr:to>
      <xdr:col>15</xdr:col>
      <xdr:colOff>180975</xdr:colOff>
      <xdr:row>19</xdr:row>
      <xdr:rowOff>80962</xdr:rowOff>
    </xdr:to>
    <xdr:graphicFrame macro="">
      <xdr:nvGraphicFramePr>
        <xdr:cNvPr id="3" name="Chart 2">
          <a:extLst>
            <a:ext uri="{FF2B5EF4-FFF2-40B4-BE49-F238E27FC236}">
              <a16:creationId xmlns:a16="http://schemas.microsoft.com/office/drawing/2014/main" id="{E7EA7705-4523-AB1C-D4E0-EE8671EE9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304797</xdr:colOff>
      <xdr:row>6</xdr:row>
      <xdr:rowOff>42862</xdr:rowOff>
    </xdr:from>
    <xdr:to>
      <xdr:col>14</xdr:col>
      <xdr:colOff>190500</xdr:colOff>
      <xdr:row>24</xdr:row>
      <xdr:rowOff>19050</xdr:rowOff>
    </xdr:to>
    <xdr:graphicFrame macro="">
      <xdr:nvGraphicFramePr>
        <xdr:cNvPr id="2" name="Chart 1">
          <a:extLst>
            <a:ext uri="{FF2B5EF4-FFF2-40B4-BE49-F238E27FC236}">
              <a16:creationId xmlns:a16="http://schemas.microsoft.com/office/drawing/2014/main" id="{D12632EC-943C-1F3F-CA2E-171681B48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19050</xdr:colOff>
      <xdr:row>8</xdr:row>
      <xdr:rowOff>52386</xdr:rowOff>
    </xdr:from>
    <xdr:to>
      <xdr:col>14</xdr:col>
      <xdr:colOff>180975</xdr:colOff>
      <xdr:row>27</xdr:row>
      <xdr:rowOff>133349</xdr:rowOff>
    </xdr:to>
    <xdr:graphicFrame macro="">
      <xdr:nvGraphicFramePr>
        <xdr:cNvPr id="2" name="Chart 1">
          <a:extLst>
            <a:ext uri="{FF2B5EF4-FFF2-40B4-BE49-F238E27FC236}">
              <a16:creationId xmlns:a16="http://schemas.microsoft.com/office/drawing/2014/main" id="{7344038E-8D70-37C3-9586-A0ECBC839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128587</xdr:colOff>
      <xdr:row>13</xdr:row>
      <xdr:rowOff>147637</xdr:rowOff>
    </xdr:from>
    <xdr:to>
      <xdr:col>14</xdr:col>
      <xdr:colOff>433387</xdr:colOff>
      <xdr:row>28</xdr:row>
      <xdr:rowOff>33337</xdr:rowOff>
    </xdr:to>
    <xdr:graphicFrame macro="">
      <xdr:nvGraphicFramePr>
        <xdr:cNvPr id="2" name="Chart 1">
          <a:extLst>
            <a:ext uri="{FF2B5EF4-FFF2-40B4-BE49-F238E27FC236}">
              <a16:creationId xmlns:a16="http://schemas.microsoft.com/office/drawing/2014/main" id="{44F0EAE9-956E-EA9D-5030-8B3FBF913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ubank, Jason" refreshedDate="46027.688259259259" createdVersion="8" refreshedVersion="8" minRefreshableVersion="3" recordCount="121" xr:uid="{DB944A35-E38C-467E-A42A-47BE2D22CF17}">
  <cacheSource type="worksheet">
    <worksheetSource name="_12_19___12_31"/>
  </cacheSource>
  <cacheFields count="6">
    <cacheField name=" Date" numFmtId="14">
      <sharedItems containsSemiMixedTypes="0" containsNonDate="0" containsDate="1" containsString="0" minDate="2025-12-19T00:00:00" maxDate="2026-01-01T00:00:00"/>
    </cacheField>
    <cacheField name="Amount" numFmtId="0">
      <sharedItems containsSemiMixedTypes="0" containsString="0" containsNumber="1" minValue="12.55" maxValue="7869.11"/>
    </cacheField>
    <cacheField name="Payer" numFmtId="0">
      <sharedItems count="18">
        <s v="AETNA "/>
        <s v="CIGNA "/>
        <s v="BCBS "/>
        <s v="MEDICARE "/>
        <s v="UMR "/>
        <s v="UHC "/>
        <s v="HUMANA "/>
        <s v="AARP "/>
        <s v="BCBS"/>
        <s v="WELLCARE "/>
        <s v="CCH "/>
        <s v="GEHA "/>
        <s v="TRILLIUM "/>
        <s v="AETNA SLEEP MED"/>
        <s v="BCBS SLEEP MED"/>
        <s v="UHC SLEEP MED"/>
        <s v="HUMANA  "/>
        <s v="HUMANA"/>
      </sharedItems>
    </cacheField>
    <cacheField name="Department" numFmtId="0">
      <sharedItems count="5">
        <s v="UNC ORAL &amp; MAXILL PATH"/>
        <s v="DENTAL FACULTY PRACTIC"/>
        <s v="UNC ORAL &amp; MAXILL"/>
        <s v="UNC CRANIOFACIAL CENTE"/>
        <s v="SOD OS"/>
      </sharedItems>
    </cacheField>
    <cacheField name="ACH #" numFmtId="0">
      <sharedItems containsMixedTypes="1" containsNumber="1" containsInteger="1" minValue="97004542" maxValue="882535901079835"/>
    </cacheField>
    <cacheField name="Remittance Type" numFmtId="0">
      <sharedItems count="2">
        <s v="Auto"/>
        <s v="Manual "/>
      </sharedItems>
    </cacheField>
  </cacheFields>
  <extLst>
    <ext xmlns:x14="http://schemas.microsoft.com/office/spreadsheetml/2009/9/main" uri="{725AE2AE-9491-48be-B2B4-4EB974FC3084}">
      <x14:pivotCacheDefinition pivotCacheId="413687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d v="2025-12-31T00:00:00"/>
    <n v="1056.28"/>
    <x v="0"/>
    <x v="0"/>
    <n v="825361000030553"/>
    <x v="0"/>
  </r>
  <r>
    <d v="2025-12-31T00:00:00"/>
    <n v="68.010000000000005"/>
    <x v="0"/>
    <x v="1"/>
    <n v="882535901079835"/>
    <x v="0"/>
  </r>
  <r>
    <d v="2025-12-31T00:00:00"/>
    <n v="689.44"/>
    <x v="1"/>
    <x v="0"/>
    <n v="251227090065121"/>
    <x v="0"/>
  </r>
  <r>
    <d v="2025-12-31T00:00:00"/>
    <n v="338.95"/>
    <x v="1"/>
    <x v="0"/>
    <s v="602300851703"/>
    <x v="0"/>
  </r>
  <r>
    <d v="2025-12-31T00:00:00"/>
    <n v="681.73"/>
    <x v="2"/>
    <x v="1"/>
    <s v="25363B100007625300"/>
    <x v="0"/>
  </r>
  <r>
    <d v="2025-12-31T00:00:00"/>
    <n v="79.2"/>
    <x v="2"/>
    <x v="2"/>
    <s v="3401226444"/>
    <x v="0"/>
  </r>
  <r>
    <d v="2025-12-31T00:00:00"/>
    <n v="46.24"/>
    <x v="2"/>
    <x v="2"/>
    <s v="7165953"/>
    <x v="0"/>
  </r>
  <r>
    <d v="2025-12-31T00:00:00"/>
    <n v="391.78"/>
    <x v="2"/>
    <x v="1"/>
    <s v="75123797"/>
    <x v="0"/>
  </r>
  <r>
    <d v="2025-12-31T00:00:00"/>
    <n v="147.1"/>
    <x v="2"/>
    <x v="3"/>
    <n v="97004542"/>
    <x v="0"/>
  </r>
  <r>
    <d v="2025-12-31T00:00:00"/>
    <n v="49.18"/>
    <x v="3"/>
    <x v="1"/>
    <s v="899410895"/>
    <x v="0"/>
  </r>
  <r>
    <d v="2025-12-31T00:00:00"/>
    <n v="791.24"/>
    <x v="3"/>
    <x v="2"/>
    <n v="899410896"/>
    <x v="0"/>
  </r>
  <r>
    <d v="2025-12-31T00:00:00"/>
    <n v="105.59"/>
    <x v="4"/>
    <x v="0"/>
    <s v="CK95922124067895356223993"/>
    <x v="0"/>
  </r>
  <r>
    <d v="2025-12-31T00:00:00"/>
    <n v="66.33"/>
    <x v="5"/>
    <x v="1"/>
    <s v="F3457598"/>
    <x v="0"/>
  </r>
  <r>
    <d v="2025-12-31T00:00:00"/>
    <n v="105.59"/>
    <x v="5"/>
    <x v="0"/>
    <s v="W346100992"/>
    <x v="0"/>
  </r>
  <r>
    <d v="2025-12-30T00:00:00"/>
    <n v="649.77"/>
    <x v="6"/>
    <x v="1"/>
    <s v="175235273251227"/>
    <x v="0"/>
  </r>
  <r>
    <d v="2025-12-30T00:00:00"/>
    <n v="78.03"/>
    <x v="6"/>
    <x v="1"/>
    <s v="175235274251227"/>
    <x v="0"/>
  </r>
  <r>
    <d v="2025-12-30T00:00:00"/>
    <n v="67.94"/>
    <x v="6"/>
    <x v="1"/>
    <s v="175339016251228"/>
    <x v="0"/>
  </r>
  <r>
    <d v="2025-12-30T00:00:00"/>
    <n v="67.94"/>
    <x v="6"/>
    <x v="1"/>
    <s v="175339017251228"/>
    <x v="0"/>
  </r>
  <r>
    <d v="2025-12-30T00:00:00"/>
    <n v="135.88"/>
    <x v="6"/>
    <x v="1"/>
    <s v="175339018251228"/>
    <x v="0"/>
  </r>
  <r>
    <d v="2025-12-30T00:00:00"/>
    <n v="104.08"/>
    <x v="0"/>
    <x v="0"/>
    <s v="825359000105241"/>
    <x v="0"/>
  </r>
  <r>
    <d v="2025-12-30T00:00:00"/>
    <n v="115.64"/>
    <x v="0"/>
    <x v="0"/>
    <s v="825359000105243"/>
    <x v="0"/>
  </r>
  <r>
    <d v="2025-12-30T00:00:00"/>
    <n v="202.7"/>
    <x v="0"/>
    <x v="1"/>
    <s v="825359000106819"/>
    <x v="0"/>
  </r>
  <r>
    <d v="2025-12-30T00:00:00"/>
    <n v="136.02000000000001"/>
    <x v="0"/>
    <x v="1"/>
    <s v="882535701050271"/>
    <x v="0"/>
  </r>
  <r>
    <d v="2025-12-30T00:00:00"/>
    <n v="583.5"/>
    <x v="2"/>
    <x v="2"/>
    <s v="25360B100002539400"/>
    <x v="0"/>
  </r>
  <r>
    <d v="2025-12-30T00:00:00"/>
    <n v="974.29"/>
    <x v="2"/>
    <x v="2"/>
    <s v="25360B100016508400"/>
    <x v="0"/>
  </r>
  <r>
    <d v="2025-12-30T00:00:00"/>
    <n v="183.88"/>
    <x v="2"/>
    <x v="3"/>
    <s v="25360B100016697700"/>
    <x v="0"/>
  </r>
  <r>
    <d v="2025-12-30T00:00:00"/>
    <n v="12.55"/>
    <x v="2"/>
    <x v="1"/>
    <s v="7162085"/>
    <x v="0"/>
  </r>
  <r>
    <d v="2025-12-30T00:00:00"/>
    <n v="124.8"/>
    <x v="3"/>
    <x v="1"/>
    <s v="899407280"/>
    <x v="0"/>
  </r>
  <r>
    <d v="2025-12-30T00:00:00"/>
    <n v="25.1"/>
    <x v="7"/>
    <x v="1"/>
    <n v="11371533398"/>
    <x v="0"/>
  </r>
  <r>
    <d v="2025-12-30T00:00:00"/>
    <n v="534.66"/>
    <x v="5"/>
    <x v="1"/>
    <s v="25359B1000430461"/>
    <x v="0"/>
  </r>
  <r>
    <d v="2025-12-30T00:00:00"/>
    <n v="79.2"/>
    <x v="5"/>
    <x v="0"/>
    <s v="25359B1000449258"/>
    <x v="0"/>
  </r>
  <r>
    <d v="2025-12-30T00:00:00"/>
    <n v="30.75"/>
    <x v="5"/>
    <x v="1"/>
    <s v="25360B1000398495"/>
    <x v="0"/>
  </r>
  <r>
    <d v="2025-12-30T00:00:00"/>
    <n v="13.96"/>
    <x v="5"/>
    <x v="1"/>
    <s v="25360B1000808574"/>
    <x v="0"/>
  </r>
  <r>
    <d v="2025-12-30T00:00:00"/>
    <n v="26.4"/>
    <x v="5"/>
    <x v="4"/>
    <s v="F3456079"/>
    <x v="1"/>
  </r>
  <r>
    <d v="2025-12-30T00:00:00"/>
    <n v="132.66"/>
    <x v="5"/>
    <x v="1"/>
    <s v="U5578450"/>
    <x v="0"/>
  </r>
  <r>
    <d v="2025-12-29T00:00:00"/>
    <n v="236.75"/>
    <x v="6"/>
    <x v="1"/>
    <s v="175056644251224"/>
    <x v="0"/>
  </r>
  <r>
    <d v="2025-12-29T00:00:00"/>
    <n v="338.95"/>
    <x v="1"/>
    <x v="0"/>
    <s v="603601171032"/>
    <x v="0"/>
  </r>
  <r>
    <d v="2025-12-29T00:00:00"/>
    <n v="250.27"/>
    <x v="8"/>
    <x v="1"/>
    <s v="25358B100001315500"/>
    <x v="0"/>
  </r>
  <r>
    <d v="2025-12-29T00:00:00"/>
    <n v="647.29999999999995"/>
    <x v="8"/>
    <x v="2"/>
    <s v="25358B100006164600"/>
    <x v="0"/>
  </r>
  <r>
    <d v="2025-12-29T00:00:00"/>
    <n v="48.82"/>
    <x v="8"/>
    <x v="1"/>
    <s v="25358B100009672200"/>
    <x v="0"/>
  </r>
  <r>
    <d v="2025-12-29T00:00:00"/>
    <n v="1303.67"/>
    <x v="8"/>
    <x v="3"/>
    <s v="25358B100010437000"/>
    <x v="0"/>
  </r>
  <r>
    <d v="2025-12-29T00:00:00"/>
    <n v="57.49"/>
    <x v="8"/>
    <x v="2"/>
    <s v="25359B100002187100"/>
    <x v="0"/>
  </r>
  <r>
    <d v="2025-12-29T00:00:00"/>
    <n v="551.64"/>
    <x v="8"/>
    <x v="3"/>
    <s v="25359B100008230500"/>
    <x v="0"/>
  </r>
  <r>
    <d v="2025-12-29T00:00:00"/>
    <n v="327.93"/>
    <x v="8"/>
    <x v="1"/>
    <s v="25359B100012116800"/>
    <x v="0"/>
  </r>
  <r>
    <d v="2025-12-29T00:00:00"/>
    <n v="341.39"/>
    <x v="8"/>
    <x v="2"/>
    <s v="25359B100012989300"/>
    <x v="0"/>
  </r>
  <r>
    <d v="2025-12-29T00:00:00"/>
    <n v="367.76"/>
    <x v="8"/>
    <x v="3"/>
    <s v="25359B100013177600"/>
    <x v="0"/>
  </r>
  <r>
    <d v="2025-12-29T00:00:00"/>
    <n v="658.14"/>
    <x v="3"/>
    <x v="1"/>
    <s v="899401969"/>
    <x v="0"/>
  </r>
  <r>
    <d v="2025-12-29T00:00:00"/>
    <n v="1281.1500000000001"/>
    <x v="3"/>
    <x v="2"/>
    <s v="899401970"/>
    <x v="0"/>
  </r>
  <r>
    <d v="2025-12-29T00:00:00"/>
    <n v="30.75"/>
    <x v="5"/>
    <x v="1"/>
    <s v="25358B1000918316"/>
    <x v="0"/>
  </r>
  <r>
    <d v="2025-12-29T00:00:00"/>
    <n v="79.2"/>
    <x v="5"/>
    <x v="0"/>
    <s v="25358B1000924404"/>
    <x v="0"/>
  </r>
  <r>
    <d v="2025-12-29T00:00:00"/>
    <n v="198.99"/>
    <x v="5"/>
    <x v="1"/>
    <s v="U5445356"/>
    <x v="0"/>
  </r>
  <r>
    <d v="2025-12-29T00:00:00"/>
    <n v="105.59"/>
    <x v="5"/>
    <x v="0"/>
    <s v="UH88200031013321244397862"/>
    <x v="0"/>
  </r>
  <r>
    <d v="2025-12-29T00:00:00"/>
    <n v="70.8"/>
    <x v="5"/>
    <x v="1"/>
    <s v="W345722068"/>
    <x v="0"/>
  </r>
  <r>
    <d v="2025-12-29T00:00:00"/>
    <n v="172.71"/>
    <x v="9"/>
    <x v="0"/>
    <s v="1002389284"/>
    <x v="0"/>
  </r>
  <r>
    <d v="2025-12-29T00:00:00"/>
    <n v="284.08"/>
    <x v="10"/>
    <x v="0"/>
    <s v="0901138217"/>
    <x v="0"/>
  </r>
  <r>
    <d v="2025-12-26T00:00:00"/>
    <n v="57.87"/>
    <x v="2"/>
    <x v="1"/>
    <s v="25357B100001711500"/>
    <x v="0"/>
  </r>
  <r>
    <d v="2025-12-26T00:00:00"/>
    <n v="4994.7299999999996"/>
    <x v="2"/>
    <x v="2"/>
    <s v="25357B100007538900"/>
    <x v="0"/>
  </r>
  <r>
    <d v="2025-12-26T00:00:00"/>
    <n v="21.02"/>
    <x v="2"/>
    <x v="1"/>
    <s v="7155567"/>
    <x v="0"/>
  </r>
  <r>
    <d v="2025-12-26T00:00:00"/>
    <n v="108.24"/>
    <x v="11"/>
    <x v="1"/>
    <s v="CN17417121929295351700914"/>
    <x v="0"/>
  </r>
  <r>
    <d v="2025-12-26T00:00:00"/>
    <n v="241.16"/>
    <x v="5"/>
    <x v="1"/>
    <s v="F3444264"/>
    <x v="0"/>
  </r>
  <r>
    <d v="2025-12-24T00:00:00"/>
    <n v="462.56"/>
    <x v="0"/>
    <x v="0"/>
    <s v="825354000021189"/>
    <x v="0"/>
  </r>
  <r>
    <d v="2025-12-24T00:00:00"/>
    <n v="136.02000000000001"/>
    <x v="0"/>
    <x v="1"/>
    <s v="882535201066061"/>
    <x v="0"/>
  </r>
  <r>
    <d v="2025-12-24T00:00:00"/>
    <n v="68.010000000000005"/>
    <x v="0"/>
    <x v="1"/>
    <s v="882535301095828"/>
    <x v="0"/>
  </r>
  <r>
    <d v="2025-12-24T00:00:00"/>
    <n v="7869.11"/>
    <x v="2"/>
    <x v="2"/>
    <s v="25356B100010388400"/>
    <x v="0"/>
  </r>
  <r>
    <d v="2025-12-24T00:00:00"/>
    <n v="248.74"/>
    <x v="2"/>
    <x v="3"/>
    <s v="7142124"/>
    <x v="0"/>
  </r>
  <r>
    <d v="2025-12-24T00:00:00"/>
    <n v="401.24"/>
    <x v="5"/>
    <x v="0"/>
    <s v="W345399943"/>
    <x v="0"/>
  </r>
  <r>
    <d v="2025-12-24T00:00:00"/>
    <n v="2012.96"/>
    <x v="12"/>
    <x v="0"/>
    <s v="0900127705"/>
    <x v="0"/>
  </r>
  <r>
    <d v="2025-12-23T00:00:00"/>
    <n v="289.10000000000002"/>
    <x v="0"/>
    <x v="0"/>
    <s v="825352000191114"/>
    <x v="0"/>
  </r>
  <r>
    <d v="2025-12-23T00:00:00"/>
    <n v="104.5"/>
    <x v="0"/>
    <x v="1"/>
    <s v="882535101046046"/>
    <x v="0"/>
  </r>
  <r>
    <d v="2025-12-23T00:00:00"/>
    <n v="23.85"/>
    <x v="2"/>
    <x v="2"/>
    <s v="25353B100001921200"/>
    <x v="0"/>
  </r>
  <r>
    <d v="2025-12-23T00:00:00"/>
    <n v="172.69"/>
    <x v="2"/>
    <x v="1"/>
    <s v="25353B100009682500"/>
    <x v="0"/>
  </r>
  <r>
    <d v="2025-12-23T00:00:00"/>
    <n v="12.55"/>
    <x v="2"/>
    <x v="1"/>
    <s v="25354B100001524500"/>
    <x v="0"/>
  </r>
  <r>
    <d v="2025-12-23T00:00:00"/>
    <n v="124.8"/>
    <x v="3"/>
    <x v="1"/>
    <s v="899397743"/>
    <x v="0"/>
  </r>
  <r>
    <d v="2025-12-23T00:00:00"/>
    <n v="682.87"/>
    <x v="3"/>
    <x v="2"/>
    <s v="899397744"/>
    <x v="0"/>
  </r>
  <r>
    <d v="2025-12-23T00:00:00"/>
    <n v="67.680000000000007"/>
    <x v="5"/>
    <x v="1"/>
    <s v="25353B1000419393"/>
    <x v="0"/>
  </r>
  <r>
    <d v="2025-12-23T00:00:00"/>
    <n v="186.18"/>
    <x v="5"/>
    <x v="0"/>
    <s v="47943242"/>
    <x v="0"/>
  </r>
  <r>
    <d v="2025-12-23T00:00:00"/>
    <n v="105.59"/>
    <x v="4"/>
    <x v="0"/>
    <s v="CN95515119380305349303601"/>
    <x v="0"/>
  </r>
  <r>
    <d v="2025-12-23T00:00:00"/>
    <n v="198.99"/>
    <x v="5"/>
    <x v="1"/>
    <s v="U5251125"/>
    <x v="0"/>
  </r>
  <r>
    <d v="2025-12-22T00:00:00"/>
    <n v="68.010000000000005"/>
    <x v="0"/>
    <x v="1"/>
    <s v="882535001072711"/>
    <x v="0"/>
  </r>
  <r>
    <d v="2025-12-22T00:00:00"/>
    <n v="57.87"/>
    <x v="2"/>
    <x v="1"/>
    <s v="25352B100001692500"/>
    <x v="0"/>
  </r>
  <r>
    <d v="2025-12-22T00:00:00"/>
    <n v="94.22"/>
    <x v="2"/>
    <x v="1"/>
    <s v="25352B100008689400"/>
    <x v="0"/>
  </r>
  <r>
    <d v="2025-12-22T00:00:00"/>
    <n v="423.19"/>
    <x v="2"/>
    <x v="3"/>
    <s v="25352B100016193700"/>
    <x v="0"/>
  </r>
  <r>
    <d v="2025-12-22T00:00:00"/>
    <n v="77.77"/>
    <x v="2"/>
    <x v="1"/>
    <s v="7137348"/>
    <x v="0"/>
  </r>
  <r>
    <d v="2025-12-22T00:00:00"/>
    <n v="245.9"/>
    <x v="3"/>
    <x v="1"/>
    <s v="899393708"/>
    <x v="0"/>
  </r>
  <r>
    <d v="2025-12-22T00:00:00"/>
    <n v="66.36"/>
    <x v="3"/>
    <x v="2"/>
    <s v="899393709"/>
    <x v="0"/>
  </r>
  <r>
    <d v="2025-12-22T00:00:00"/>
    <n v="116.45"/>
    <x v="5"/>
    <x v="1"/>
    <s v="U5180134"/>
    <x v="0"/>
  </r>
  <r>
    <d v="2025-12-22T00:00:00"/>
    <n v="79.2"/>
    <x v="10"/>
    <x v="0"/>
    <s v="0901132832"/>
    <x v="0"/>
  </r>
  <r>
    <d v="2025-12-19T00:00:00"/>
    <n v="64.709999999999994"/>
    <x v="6"/>
    <x v="1"/>
    <s v="174661877251217"/>
    <x v="0"/>
  </r>
  <r>
    <d v="2025-12-19T00:00:00"/>
    <n v="233.66"/>
    <x v="1"/>
    <x v="0"/>
    <s v="251216090041866"/>
    <x v="0"/>
  </r>
  <r>
    <d v="2025-12-19T00:00:00"/>
    <n v="175.55"/>
    <x v="2"/>
    <x v="1"/>
    <s v="25351B100002016800"/>
    <x v="0"/>
  </r>
  <r>
    <d v="2025-12-19T00:00:00"/>
    <n v="532.35"/>
    <x v="2"/>
    <x v="2"/>
    <s v="25351B100002804100"/>
    <x v="0"/>
  </r>
  <r>
    <d v="2025-12-19T00:00:00"/>
    <n v="251.91"/>
    <x v="8"/>
    <x v="2"/>
    <s v="3400336577"/>
    <x v="0"/>
  </r>
  <r>
    <d v="2025-12-19T00:00:00"/>
    <n v="49.18"/>
    <x v="3"/>
    <x v="1"/>
    <s v="899390214"/>
    <x v="0"/>
  </r>
  <r>
    <d v="2025-12-19T00:00:00"/>
    <n v="147.83000000000001"/>
    <x v="5"/>
    <x v="0"/>
    <s v="25351B1000945021"/>
    <x v="0"/>
  </r>
  <r>
    <d v="2025-12-19T00:00:00"/>
    <n v="84.47"/>
    <x v="4"/>
    <x v="0"/>
    <s v="CL19910120649755344603492"/>
    <x v="0"/>
  </r>
  <r>
    <d v="2025-12-19T00:00:00"/>
    <n v="66.33"/>
    <x v="5"/>
    <x v="1"/>
    <s v="U5105158"/>
    <x v="0"/>
  </r>
  <r>
    <d v="2025-12-19T00:00:00"/>
    <n v="35.4"/>
    <x v="5"/>
    <x v="1"/>
    <s v="W344983593"/>
    <x v="0"/>
  </r>
  <r>
    <d v="2025-12-31T00:00:00"/>
    <n v="4730.76"/>
    <x v="13"/>
    <x v="1"/>
    <n v="825361000032120"/>
    <x v="1"/>
  </r>
  <r>
    <d v="2025-12-31T00:00:00"/>
    <n v="16.22"/>
    <x v="12"/>
    <x v="1"/>
    <s v="0900130010"/>
    <x v="1"/>
  </r>
  <r>
    <d v="2025-12-31T00:00:00"/>
    <n v="483.1"/>
    <x v="12"/>
    <x v="2"/>
    <n v="900130045"/>
    <x v="1"/>
  </r>
  <r>
    <d v="2025-12-30T00:00:00"/>
    <n v="298.75"/>
    <x v="14"/>
    <x v="1"/>
    <s v="25360B100001719200"/>
    <x v="1"/>
  </r>
  <r>
    <d v="2025-12-30T00:00:00"/>
    <n v="2606.2199999999998"/>
    <x v="14"/>
    <x v="1"/>
    <s v="25360B100009500500"/>
    <x v="1"/>
  </r>
  <r>
    <d v="2025-12-30T00:00:00"/>
    <n v="2231.5700000000002"/>
    <x v="14"/>
    <x v="1"/>
    <s v="25360B100015700300"/>
    <x v="1"/>
  </r>
  <r>
    <d v="2025-12-30T00:00:00"/>
    <n v="16.22"/>
    <x v="10"/>
    <x v="1"/>
    <s v="0901141424"/>
    <x v="1"/>
  </r>
  <r>
    <d v="2025-12-30T00:00:00"/>
    <n v="85.52"/>
    <x v="10"/>
    <x v="2"/>
    <s v="0901141546"/>
    <x v="1"/>
  </r>
  <r>
    <d v="2025-12-29T00:00:00"/>
    <n v="130"/>
    <x v="15"/>
    <x v="1"/>
    <s v="W345722067"/>
    <x v="1"/>
  </r>
  <r>
    <d v="2025-12-29T00:00:00"/>
    <n v="16.22"/>
    <x v="9"/>
    <x v="1"/>
    <s v="1002388667"/>
    <x v="1"/>
  </r>
  <r>
    <d v="2025-12-29T00:00:00"/>
    <n v="98.7"/>
    <x v="10"/>
    <x v="2"/>
    <s v="0901138902"/>
    <x v="1"/>
  </r>
  <r>
    <d v="2025-12-24T00:00:00"/>
    <n v="85"/>
    <x v="16"/>
    <x v="1"/>
    <s v="174972252251222"/>
    <x v="1"/>
  </r>
  <r>
    <d v="2025-12-24T00:00:00"/>
    <n v="288.19"/>
    <x v="13"/>
    <x v="1"/>
    <s v="825354000022646"/>
    <x v="1"/>
  </r>
  <r>
    <d v="2025-12-24T00:00:00"/>
    <n v="505.03"/>
    <x v="14"/>
    <x v="1"/>
    <s v="25356B100009398300"/>
    <x v="1"/>
  </r>
  <r>
    <d v="2025-12-24T00:00:00"/>
    <n v="99.16"/>
    <x v="12"/>
    <x v="2"/>
    <s v="0900128141"/>
    <x v="1"/>
  </r>
  <r>
    <d v="2025-12-23T00:00:00"/>
    <n v="133.09"/>
    <x v="17"/>
    <x v="1"/>
    <s v="174937584251221"/>
    <x v="1"/>
  </r>
  <r>
    <d v="2025-12-23T00:00:00"/>
    <n v="30.75"/>
    <x v="9"/>
    <x v="1"/>
    <s v="1002381416"/>
    <x v="1"/>
  </r>
  <r>
    <d v="2025-12-23T00:00:00"/>
    <n v="230.31"/>
    <x v="10"/>
    <x v="3"/>
    <s v="0901136028"/>
    <x v="1"/>
  </r>
  <r>
    <d v="2025-12-22T00:00:00"/>
    <n v="310.14"/>
    <x v="4"/>
    <x v="3"/>
    <s v="CN20912120147225346041931"/>
    <x v="1"/>
  </r>
  <r>
    <d v="2025-12-22T00:00:00"/>
    <n v="16.22"/>
    <x v="10"/>
    <x v="1"/>
    <s v="0901133252"/>
    <x v="1"/>
  </r>
  <r>
    <d v="2025-12-22T00:00:00"/>
    <n v="95.76"/>
    <x v="10"/>
    <x v="2"/>
    <s v="0901133366"/>
    <x v="1"/>
  </r>
  <r>
    <d v="2025-12-19T00:00:00"/>
    <n v="223.71"/>
    <x v="5"/>
    <x v="3"/>
    <s v="25351B1000902218"/>
    <x v="1"/>
  </r>
  <r>
    <d v="2025-12-19T00:00:00"/>
    <n v="59.8"/>
    <x v="5"/>
    <x v="3"/>
    <s v="25351B1000910780"/>
    <x v="1"/>
  </r>
  <r>
    <d v="2025-12-19T00:00:00"/>
    <n v="2421.8200000000002"/>
    <x v="9"/>
    <x v="2"/>
    <s v="100237652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70CE23-A3A7-43D9-9DEB-E36800C6B4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9" firstHeaderRow="1" firstDataRow="1" firstDataCol="1"/>
  <pivotFields count="6">
    <pivotField numFmtId="14" showAll="0"/>
    <pivotField dataField="1" showAll="0"/>
    <pivotField showAll="0"/>
    <pivotField axis="axisRow" showAll="0">
      <items count="6">
        <item x="1"/>
        <item x="4"/>
        <item x="3"/>
        <item x="2"/>
        <item x="0"/>
        <item t="default"/>
      </items>
    </pivotField>
    <pivotField showAll="0"/>
    <pivotField showAll="0"/>
  </pivotFields>
  <rowFields count="1">
    <field x="3"/>
  </rowFields>
  <rowItems count="6">
    <i>
      <x/>
    </i>
    <i>
      <x v="1"/>
    </i>
    <i>
      <x v="2"/>
    </i>
    <i>
      <x v="3"/>
    </i>
    <i>
      <x v="4"/>
    </i>
    <i t="grand">
      <x/>
    </i>
  </rowItems>
  <colItems count="1">
    <i/>
  </colItems>
  <dataFields count="1">
    <dataField name=" "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3" count="1" selected="0">
            <x v="0"/>
          </reference>
        </references>
      </pivotArea>
    </chartFormat>
    <chartFormat chart="13" format="14">
      <pivotArea type="data" outline="0" fieldPosition="0">
        <references count="2">
          <reference field="4294967294" count="1" selected="0">
            <x v="0"/>
          </reference>
          <reference field="3" count="1" selected="0">
            <x v="1"/>
          </reference>
        </references>
      </pivotArea>
    </chartFormat>
    <chartFormat chart="13" format="15">
      <pivotArea type="data" outline="0" fieldPosition="0">
        <references count="2">
          <reference field="4294967294" count="1" selected="0">
            <x v="0"/>
          </reference>
          <reference field="3" count="1" selected="0">
            <x v="2"/>
          </reference>
        </references>
      </pivotArea>
    </chartFormat>
    <chartFormat chart="13" format="16">
      <pivotArea type="data" outline="0" fieldPosition="0">
        <references count="2">
          <reference field="4294967294" count="1" selected="0">
            <x v="0"/>
          </reference>
          <reference field="3" count="1" selected="0">
            <x v="3"/>
          </reference>
        </references>
      </pivotArea>
    </chartFormat>
    <chartFormat chart="1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33C6EB-F007-4A7D-98C7-F96FAED29B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45" firstHeaderRow="1" firstDataRow="2" firstDataCol="1"/>
  <pivotFields count="6">
    <pivotField numFmtId="14" showAll="0"/>
    <pivotField dataField="1" showAll="0"/>
    <pivotField axis="axisRow" showAll="0">
      <items count="19">
        <item x="7"/>
        <item x="0"/>
        <item x="13"/>
        <item x="8"/>
        <item x="2"/>
        <item x="14"/>
        <item x="10"/>
        <item x="1"/>
        <item x="11"/>
        <item x="17"/>
        <item x="6"/>
        <item x="16"/>
        <item x="3"/>
        <item x="12"/>
        <item x="5"/>
        <item x="15"/>
        <item x="4"/>
        <item x="9"/>
        <item t="default"/>
      </items>
    </pivotField>
    <pivotField axis="axisRow" showAll="0">
      <items count="6">
        <item x="1"/>
        <item x="4"/>
        <item x="3"/>
        <item x="2"/>
        <item x="0"/>
        <item t="default"/>
      </items>
    </pivotField>
    <pivotField showAll="0"/>
    <pivotField axis="axisCol" showAll="0">
      <items count="3">
        <item x="0"/>
        <item x="1"/>
        <item t="default"/>
      </items>
    </pivotField>
  </pivotFields>
  <rowFields count="2">
    <field x="3"/>
    <field x="2"/>
  </rowFields>
  <rowItems count="41">
    <i>
      <x/>
    </i>
    <i r="1">
      <x/>
    </i>
    <i r="1">
      <x v="1"/>
    </i>
    <i r="1">
      <x v="2"/>
    </i>
    <i r="1">
      <x v="3"/>
    </i>
    <i r="1">
      <x v="4"/>
    </i>
    <i r="1">
      <x v="5"/>
    </i>
    <i r="1">
      <x v="6"/>
    </i>
    <i r="1">
      <x v="8"/>
    </i>
    <i r="1">
      <x v="9"/>
    </i>
    <i r="1">
      <x v="10"/>
    </i>
    <i r="1">
      <x v="11"/>
    </i>
    <i r="1">
      <x v="12"/>
    </i>
    <i r="1">
      <x v="13"/>
    </i>
    <i r="1">
      <x v="14"/>
    </i>
    <i r="1">
      <x v="15"/>
    </i>
    <i r="1">
      <x v="17"/>
    </i>
    <i>
      <x v="1"/>
    </i>
    <i r="1">
      <x v="14"/>
    </i>
    <i>
      <x v="2"/>
    </i>
    <i r="1">
      <x v="3"/>
    </i>
    <i r="1">
      <x v="4"/>
    </i>
    <i r="1">
      <x v="6"/>
    </i>
    <i r="1">
      <x v="14"/>
    </i>
    <i r="1">
      <x v="16"/>
    </i>
    <i>
      <x v="3"/>
    </i>
    <i r="1">
      <x v="3"/>
    </i>
    <i r="1">
      <x v="4"/>
    </i>
    <i r="1">
      <x v="6"/>
    </i>
    <i r="1">
      <x v="12"/>
    </i>
    <i r="1">
      <x v="13"/>
    </i>
    <i r="1">
      <x v="17"/>
    </i>
    <i>
      <x v="4"/>
    </i>
    <i r="1">
      <x v="1"/>
    </i>
    <i r="1">
      <x v="6"/>
    </i>
    <i r="1">
      <x v="7"/>
    </i>
    <i r="1">
      <x v="13"/>
    </i>
    <i r="1">
      <x v="14"/>
    </i>
    <i r="1">
      <x v="16"/>
    </i>
    <i r="1">
      <x v="17"/>
    </i>
    <i t="grand">
      <x/>
    </i>
  </rowItems>
  <colFields count="1">
    <field x="5"/>
  </colFields>
  <colItems count="3">
    <i>
      <x/>
    </i>
    <i>
      <x v="1"/>
    </i>
    <i t="grand">
      <x/>
    </i>
  </colItems>
  <dataFields count="1">
    <dataField name="Payments Made" fld="1" subtotal="count" baseField="2" baseItem="16"/>
  </dataFields>
  <chartFormats count="18">
    <chartFormat chart="11" format="8" series="1">
      <pivotArea type="data" outline="0" fieldPosition="0">
        <references count="1">
          <reference field="5" count="1" selected="0">
            <x v="0"/>
          </reference>
        </references>
      </pivotArea>
    </chartFormat>
    <chartFormat chart="11" format="9" series="1">
      <pivotArea type="data" outline="0" fieldPosition="0">
        <references count="1">
          <reference field="5" count="1" selected="0">
            <x v="1"/>
          </reference>
        </references>
      </pivotArea>
    </chartFormat>
    <chartFormat chart="7" format="8" series="1">
      <pivotArea type="data" outline="0" fieldPosition="0">
        <references count="1">
          <reference field="5" count="1" selected="0">
            <x v="0"/>
          </reference>
        </references>
      </pivotArea>
    </chartFormat>
    <chartFormat chart="7" format="9" series="1">
      <pivotArea type="data" outline="0" fieldPosition="0">
        <references count="1">
          <reference field="5" count="1" selected="0">
            <x v="1"/>
          </reference>
        </references>
      </pivotArea>
    </chartFormat>
    <chartFormat chart="6" format="6" series="1">
      <pivotArea type="data" outline="0" fieldPosition="0">
        <references count="1">
          <reference field="5" count="1" selected="0">
            <x v="0"/>
          </reference>
        </references>
      </pivotArea>
    </chartFormat>
    <chartFormat chart="6" format="7" series="1">
      <pivotArea type="data" outline="0" fieldPosition="0">
        <references count="1">
          <reference field="5" count="1" selected="0">
            <x v="1"/>
          </reference>
        </references>
      </pivotArea>
    </chartFormat>
    <chartFormat chart="5" format="4" series="1">
      <pivotArea type="data" outline="0" fieldPosition="0">
        <references count="1">
          <reference field="5" count="1" selected="0">
            <x v="0"/>
          </reference>
        </references>
      </pivotArea>
    </chartFormat>
    <chartFormat chart="5" format="5" series="1">
      <pivotArea type="data" outline="0" fieldPosition="0">
        <references count="1">
          <reference field="5" count="1" selected="0">
            <x v="1"/>
          </reference>
        </references>
      </pivotArea>
    </chartFormat>
    <chartFormat chart="11" format="10" series="1">
      <pivotArea type="data" outline="0" fieldPosition="0">
        <references count="2">
          <reference field="4294967294" count="1" selected="0">
            <x v="0"/>
          </reference>
          <reference field="5" count="1" selected="0">
            <x v="0"/>
          </reference>
        </references>
      </pivotArea>
    </chartFormat>
    <chartFormat chart="11" format="11" series="1">
      <pivotArea type="data" outline="0" fieldPosition="0">
        <references count="2">
          <reference field="4294967294" count="1" selected="0">
            <x v="0"/>
          </reference>
          <reference field="5" count="1" selected="0">
            <x v="1"/>
          </reference>
        </references>
      </pivotArea>
    </chartFormat>
    <chartFormat chart="7" format="10" series="1">
      <pivotArea type="data" outline="0" fieldPosition="0">
        <references count="2">
          <reference field="4294967294" count="1" selected="0">
            <x v="0"/>
          </reference>
          <reference field="5" count="1" selected="0">
            <x v="0"/>
          </reference>
        </references>
      </pivotArea>
    </chartFormat>
    <chartFormat chart="7" format="11"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0"/>
          </reference>
        </references>
      </pivotArea>
    </chartFormat>
    <chartFormat chart="6" format="9" series="1">
      <pivotArea type="data" outline="0" fieldPosition="0">
        <references count="2">
          <reference field="4294967294" count="1" selected="0">
            <x v="0"/>
          </reference>
          <reference field="5" count="1" selected="0">
            <x v="1"/>
          </reference>
        </references>
      </pivotArea>
    </chartFormat>
    <chartFormat chart="5" format="6" series="1">
      <pivotArea type="data" outline="0" fieldPosition="0">
        <references count="2">
          <reference field="4294967294" count="1" selected="0">
            <x v="0"/>
          </reference>
          <reference field="5" count="1" selected="0">
            <x v="1"/>
          </reference>
        </references>
      </pivotArea>
    </chartFormat>
    <chartFormat chart="11" format="1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B80FBA-0642-4E74-8F1C-EC99EBC3925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23" firstHeaderRow="1" firstDataRow="2" firstDataCol="1"/>
  <pivotFields count="6">
    <pivotField numFmtId="14" showAll="0"/>
    <pivotField dataField="1" showAll="0"/>
    <pivotField axis="axisRow" showAll="0">
      <items count="19">
        <item x="7"/>
        <item x="0"/>
        <item x="13"/>
        <item x="8"/>
        <item x="2"/>
        <item x="14"/>
        <item x="10"/>
        <item x="1"/>
        <item x="11"/>
        <item x="17"/>
        <item x="6"/>
        <item x="16"/>
        <item x="3"/>
        <item x="12"/>
        <item x="5"/>
        <item x="15"/>
        <item x="4"/>
        <item x="9"/>
        <item t="default"/>
      </items>
    </pivotField>
    <pivotField axis="axisCol" showAll="0">
      <items count="6">
        <item x="1"/>
        <item x="4"/>
        <item x="3"/>
        <item x="2"/>
        <item x="0"/>
        <item t="default"/>
      </items>
    </pivotField>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3"/>
  </colFields>
  <colItems count="6">
    <i>
      <x/>
    </i>
    <i>
      <x v="1"/>
    </i>
    <i>
      <x v="2"/>
    </i>
    <i>
      <x v="3"/>
    </i>
    <i>
      <x v="4"/>
    </i>
    <i t="grand">
      <x/>
    </i>
  </colItems>
  <dataFields count="1">
    <dataField name="Count of Amount" fld="1" subtotal="count" baseField="0" baseItem="0"/>
  </dataFields>
  <chartFormats count="27">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3" count="1" selected="0">
            <x v="1"/>
          </reference>
        </references>
      </pivotArea>
    </chartFormat>
    <chartFormat chart="0" format="19" series="1">
      <pivotArea type="data" outline="0" fieldPosition="0">
        <references count="2">
          <reference field="4294967294" count="1" selected="0">
            <x v="0"/>
          </reference>
          <reference field="3" count="1" selected="0">
            <x v="2"/>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4"/>
          </reference>
        </references>
      </pivotArea>
    </chartFormat>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3"/>
          </reference>
        </references>
      </pivotArea>
    </chartFormat>
    <chartFormat chart="3" format="31" series="1">
      <pivotArea type="data" outline="0" fieldPosition="0">
        <references count="2">
          <reference field="4294967294" count="1" selected="0">
            <x v="0"/>
          </reference>
          <reference field="3" count="1" selected="0">
            <x v="4"/>
          </reference>
        </references>
      </pivotArea>
    </chartFormat>
    <chartFormat chart="0" format="2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A8149C-FC71-4CBD-8CA3-9F79CCB580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1" firstDataRow="2" firstDataCol="1"/>
  <pivotFields count="6">
    <pivotField numFmtId="14" showAll="0"/>
    <pivotField showAll="0"/>
    <pivotField showAll="0">
      <items count="19">
        <item x="7"/>
        <item x="0"/>
        <item x="13"/>
        <item x="8"/>
        <item x="2"/>
        <item x="14"/>
        <item x="10"/>
        <item x="1"/>
        <item x="11"/>
        <item x="17"/>
        <item x="6"/>
        <item x="16"/>
        <item x="3"/>
        <item x="12"/>
        <item x="5"/>
        <item x="15"/>
        <item x="4"/>
        <item x="9"/>
        <item t="default"/>
      </items>
    </pivotField>
    <pivotField axis="axisRow" showAll="0">
      <items count="6">
        <item x="1"/>
        <item x="4"/>
        <item x="3"/>
        <item x="2"/>
        <item x="0"/>
        <item t="default"/>
      </items>
    </pivotField>
    <pivotField showAll="0"/>
    <pivotField axis="axisCol" dataField="1" showAll="0">
      <items count="3">
        <item x="0"/>
        <item x="1"/>
        <item t="default"/>
      </items>
    </pivotField>
  </pivotFields>
  <rowFields count="1">
    <field x="3"/>
  </rowFields>
  <rowItems count="6">
    <i>
      <x/>
    </i>
    <i>
      <x v="1"/>
    </i>
    <i>
      <x v="2"/>
    </i>
    <i>
      <x v="3"/>
    </i>
    <i>
      <x v="4"/>
    </i>
    <i t="grand">
      <x/>
    </i>
  </rowItems>
  <colFields count="1">
    <field x="5"/>
  </colFields>
  <colItems count="3">
    <i>
      <x/>
    </i>
    <i>
      <x v="1"/>
    </i>
    <i t="grand">
      <x/>
    </i>
  </colItems>
  <dataFields count="1">
    <dataField name="Count of Remittance Type" fld="5" subtotal="count" baseField="0" baseItem="0"/>
  </dataFields>
  <chartFormats count="8">
    <chartFormat chart="0" format="10" series="1">
      <pivotArea type="data" outline="0" fieldPosition="0">
        <references count="1">
          <reference field="5" count="1" selected="0">
            <x v="1"/>
          </reference>
        </references>
      </pivotArea>
    </chartFormat>
    <chartFormat chart="0" format="11" series="1">
      <pivotArea type="data" outline="0" fieldPosition="0">
        <references count="1">
          <reference field="5" count="1" selected="0">
            <x v="0"/>
          </reference>
        </references>
      </pivotArea>
    </chartFormat>
    <chartFormat chart="3" format="12" series="1">
      <pivotArea type="data" outline="0" fieldPosition="0">
        <references count="1">
          <reference field="5" count="1" selected="0">
            <x v="1"/>
          </reference>
        </references>
      </pivotArea>
    </chartFormat>
    <chartFormat chart="3" format="13" series="1">
      <pivotArea type="data" outline="0" fieldPosition="0">
        <references count="1">
          <reference field="5" count="1" selected="0">
            <x v="0"/>
          </reference>
        </references>
      </pivotArea>
    </chartFormat>
    <chartFormat chart="3" format="14" series="1">
      <pivotArea type="data" outline="0" fieldPosition="0">
        <references count="2">
          <reference field="4294967294" count="1" selected="0">
            <x v="0"/>
          </reference>
          <reference field="5" count="1" selected="0">
            <x v="0"/>
          </reference>
        </references>
      </pivotArea>
    </chartFormat>
    <chartFormat chart="3" format="15" series="1">
      <pivotArea type="data" outline="0" fieldPosition="0">
        <references count="2">
          <reference field="4294967294" count="1" selected="0">
            <x v="0"/>
          </reference>
          <reference field="5" count="1" selected="0">
            <x v="1"/>
          </reference>
        </references>
      </pivotArea>
    </chartFormat>
    <chartFormat chart="0" format="14" series="1">
      <pivotArea type="data" outline="0" fieldPosition="0">
        <references count="2">
          <reference field="4294967294" count="1" selected="0">
            <x v="0"/>
          </reference>
          <reference field="5" count="1" selected="0">
            <x v="0"/>
          </reference>
        </references>
      </pivotArea>
    </chartFormat>
    <chartFormat chart="0" format="1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4EAD8-9B55-42A5-8164-2B100DA84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6">
    <pivotField numFmtId="14" showAll="0"/>
    <pivotField dataField="1" showAll="0"/>
    <pivotField axis="axisRow" showAll="0">
      <items count="19">
        <item x="7"/>
        <item x="0"/>
        <item x="13"/>
        <item x="8"/>
        <item x="2"/>
        <item x="14"/>
        <item x="10"/>
        <item x="1"/>
        <item x="11"/>
        <item x="17"/>
        <item x="6"/>
        <item x="16"/>
        <item x="3"/>
        <item x="12"/>
        <item x="5"/>
        <item x="15"/>
        <item x="4"/>
        <item x="9"/>
        <item t="default"/>
      </items>
    </pivotField>
    <pivotField showAll="0">
      <items count="6">
        <item x="1"/>
        <item x="4"/>
        <item x="3"/>
        <item x="2"/>
        <item x="0"/>
        <item t="default"/>
      </items>
    </pivotField>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mount" fld="1"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1" xr16:uid="{4DEF8929-ED36-470C-8CE0-4462E5E5C406}" autoFormatId="16" applyNumberFormats="0" applyBorderFormats="0" applyFontFormats="0" applyPatternFormats="0" applyAlignmentFormats="0" applyWidthHeightFormats="0">
  <queryTableRefresh nextId="7">
    <queryTableFields count="6">
      <queryTableField id="1" name="As Of Date" tableColumnId="1"/>
      <queryTableField id="2" name="Credit Amount" tableColumnId="2"/>
      <queryTableField id="3" name="Sending Company Name" tableColumnId="3"/>
      <queryTableField id="4" name="Recipient Name" tableColumnId="4"/>
      <queryTableField id="5" name="ACH #" tableColumnId="5"/>
      <queryTableField id="6" name="Remittance Typ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8" xr16:uid="{D7B1E203-C560-491E-A778-A7ACE7BA70D3}"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7" xr16:uid="{2EEFD15A-C1D0-4ADA-87CB-F2DF5D00FB30}"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6" xr16:uid="{A554035D-6CA2-43DA-A54D-4CFC75D56A41}"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5" xr16:uid="{70023FF7-8BA1-4007-A508-9A37E7C84B85}"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4" xr16:uid="{83412CB4-75EC-4078-BB5E-B20C280B6C63}"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 xr16:uid="{1C730ED9-00EF-406F-9CD0-0CB235C489F9}" autoFormatId="16" applyNumberFormats="0" applyBorderFormats="0" applyFontFormats="0" applyPatternFormats="0" applyAlignmentFormats="0" applyWidthHeightFormats="0">
  <queryTableRefresh nextId="20">
    <queryTableFields count="19">
      <queryTableField id="1" name="As Of Date" tableColumnId="1"/>
      <queryTableField id="2" name="Credit Amount" tableColumnId="2"/>
      <queryTableField id="3" name="Recipient ID" tableColumnId="3"/>
      <queryTableField id="4" name="Sending Company Name" tableColumnId="4"/>
      <queryTableField id="5" name="Recipient Name" tableColumnId="5"/>
      <queryTableField id="6" name="ACH #" tableColumnId="6"/>
      <queryTableField id="7" name="Value Date" tableColumnId="7"/>
      <queryTableField id="8" name="Remittance Information" tableColumnId="8"/>
      <queryTableField id="9" name="End to End Reference" tableColumnId="9"/>
      <queryTableField id="10" name="Bank Reference" tableColumnId="10"/>
      <queryTableField id="11" name="Payment Purpose" tableColumnId="11"/>
      <queryTableField id="12" name="Purpose Description" tableColumnId="12"/>
      <queryTableField id="13" name="Remittance Type" tableColumnId="13"/>
      <queryTableField id="14" name="Sending Bank ID" tableColumnId="14"/>
      <queryTableField id="15" name="Trace Number" tableColumnId="15"/>
      <queryTableField id="16" name="Unique ID" tableColumnId="16"/>
      <queryTableField id="17" name="Foreign Exchange Rate" tableColumnId="17"/>
      <queryTableField id="18" name="Received Amount" tableColumnId="18"/>
      <queryTableField id="19" name="Received Currency"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ADD676-9E23-49BC-8835-9181D051D1DA}" sourceName="Department">
  <pivotTables>
    <pivotTable tabId="12" name="PivotTable4"/>
  </pivotTables>
  <data>
    <tabular pivotCacheId="413687770">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 xr10:uid="{6AF42890-3BA9-484B-B6E3-B516660FC320}" sourceName="Payer">
  <pivotTables>
    <pivotTable tabId="12" name="PivotTable4"/>
  </pivotTables>
  <data>
    <tabular pivotCacheId="413687770">
      <items count="18">
        <i x="7" s="1"/>
        <i x="0" s="1"/>
        <i x="13" s="1"/>
        <i x="8" s="1"/>
        <i x="2" s="1"/>
        <i x="14" s="1"/>
        <i x="10" s="1"/>
        <i x="1" s="1"/>
        <i x="11" s="1"/>
        <i x="17" s="1"/>
        <i x="6" s="1"/>
        <i x="16" s="1"/>
        <i x="3" s="1"/>
        <i x="12" s="1"/>
        <i x="5" s="1"/>
        <i x="15" s="1"/>
        <i x="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D6A3B25-E921-4752-A733-E439DDED8623}" cache="Slicer_Department" caption="Department" rowHeight="257175"/>
  <slicer name="Payer" xr10:uid="{F9D13856-68E6-40B4-9483-0ECB941CCD96}" cache="Slicer_Payer" caption="Pay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F1075D-DF99-4429-9825-510EBE81DC55}" name="_12_19___12_31" displayName="_12_19___12_31" ref="A1:F122" tableType="queryTable" totalsRowShown="0">
  <autoFilter ref="A1:F122" xr:uid="{90F1075D-DF99-4429-9825-510EBE81DC55}"/>
  <sortState xmlns:xlrd2="http://schemas.microsoft.com/office/spreadsheetml/2017/richdata2" ref="A2:F122">
    <sortCondition ref="C2:C122"/>
    <sortCondition ref="A2:A122"/>
  </sortState>
  <tableColumns count="6">
    <tableColumn id="1" xr3:uid="{258784CF-C3FC-4552-9CE7-BE1B72F3F9D6}" uniqueName="1" name=" Date" queryTableFieldId="1" dataDxfId="88"/>
    <tableColumn id="2" xr3:uid="{D5E32DFC-8D30-4CD7-A3B9-8E012BE038D6}" uniqueName="2" name="Amount" queryTableFieldId="2"/>
    <tableColumn id="3" xr3:uid="{00C273B3-2D35-41DC-BD3D-64044D42A420}" uniqueName="3" name="Payer" queryTableFieldId="3" dataDxfId="87"/>
    <tableColumn id="4" xr3:uid="{0A05EC5A-2599-4FC3-8DDB-7972A6F88BE9}" uniqueName="4" name="Department" queryTableFieldId="4" dataDxfId="86"/>
    <tableColumn id="5" xr3:uid="{D9B25CF0-3257-4833-BD62-CDD8CB018D17}" uniqueName="5" name="ACH #" queryTableFieldId="5" dataDxfId="85"/>
    <tableColumn id="6" xr3:uid="{371F74D9-5CF5-4AD6-9F37-E7D3361C1D76}" uniqueName="6" name="Remittance Type" queryTableFieldId="6" dataDxfId="8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FD30C3-08B1-43E4-AF7A-E31FD8D42C55}" name="_12_30_25" displayName="_12_30_25" ref="A1:S28" tableType="queryTable" totalsRowShown="0">
  <autoFilter ref="A1:S28" xr:uid="{F2FD30C3-08B1-43E4-AF7A-E31FD8D42C55}"/>
  <tableColumns count="19">
    <tableColumn id="1" xr3:uid="{F7B561BC-17DD-4125-B742-22D90BD87DF0}" uniqueName="1" name="As Of Date" queryTableFieldId="1" dataDxfId="83"/>
    <tableColumn id="2" xr3:uid="{E18F2700-8BE4-4AE8-B8D5-0D947BDAA334}" uniqueName="2" name="Credit Amount" queryTableFieldId="2"/>
    <tableColumn id="3" xr3:uid="{873F1FBF-87B6-4CC3-BEE3-01EFA93D182B}" uniqueName="3" name="Recipient ID" queryTableFieldId="3"/>
    <tableColumn id="4" xr3:uid="{760C8ACF-15AD-4AD8-B349-5EB153377213}" uniqueName="4" name="Sending Company Name" queryTableFieldId="4" dataDxfId="82"/>
    <tableColumn id="5" xr3:uid="{71C52A84-FBD3-478E-8984-CDFF36DCA7BB}" uniqueName="5" name="Recipient Name" queryTableFieldId="5" dataDxfId="81"/>
    <tableColumn id="6" xr3:uid="{83444FE0-C24F-4224-8683-2B624F0C16EE}" uniqueName="6" name="ACH #" queryTableFieldId="6" dataDxfId="80"/>
    <tableColumn id="7" xr3:uid="{94552013-8AC6-4DB6-94EC-67041B02CDD7}" uniqueName="7" name="Value Date" queryTableFieldId="7" dataDxfId="79"/>
    <tableColumn id="8" xr3:uid="{C9904BC2-8A94-4BAC-A6AE-44F68C0E8495}" uniqueName="8" name="Remittance Information" queryTableFieldId="8" dataDxfId="78"/>
    <tableColumn id="9" xr3:uid="{E4CC1A56-C7F4-4933-9CED-0798817C4CEA}" uniqueName="9" name="End to End Reference" queryTableFieldId="9" dataDxfId="77"/>
    <tableColumn id="10" xr3:uid="{15E63BFB-939F-4687-8DE1-A5132DE4910E}" uniqueName="10" name="Bank Reference" queryTableFieldId="10"/>
    <tableColumn id="11" xr3:uid="{F9042B45-F8D5-45E1-84A2-ABD6D3A26377}" uniqueName="11" name="Payment Purpose" queryTableFieldId="11" dataDxfId="76"/>
    <tableColumn id="12" xr3:uid="{CF8ACC6E-CDBA-4648-B4B8-9A6F5A8AA0D8}" uniqueName="12" name="Purpose Description" queryTableFieldId="12" dataDxfId="75"/>
    <tableColumn id="13" xr3:uid="{0FCCC379-1D7F-4986-A174-44B512ECBB78}" uniqueName="13" name="Remittance Type" queryTableFieldId="13" dataDxfId="74"/>
    <tableColumn id="14" xr3:uid="{6B965C39-5BC0-486F-BFF8-8A40696F0D6D}" uniqueName="14" name="Sending Bank ID" queryTableFieldId="14" dataDxfId="73"/>
    <tableColumn id="15" xr3:uid="{99F7EEDE-F791-4D1F-88CD-80836C0D6862}" uniqueName="15" name="Trace Number" queryTableFieldId="15"/>
    <tableColumn id="16" xr3:uid="{70D782EB-E57D-4CE0-BEF2-C17EBADDABA9}" uniqueName="16" name="Unique ID" queryTableFieldId="16"/>
    <tableColumn id="17" xr3:uid="{75415F26-9D46-4FDC-9353-47774CF60CB2}" uniqueName="17" name="Foreign Exchange Rate" queryTableFieldId="17" dataDxfId="72"/>
    <tableColumn id="18" xr3:uid="{048F8319-B63B-4F56-8402-AAF622AE489C}" uniqueName="18" name="Received Amount" queryTableFieldId="18" dataDxfId="71"/>
    <tableColumn id="19" xr3:uid="{5472C776-B61F-4012-A415-FA7050877DD1}" uniqueName="19" name="Received Currency" queryTableFieldId="19" dataDxfId="7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A6FA3-AE15-4602-B5A4-CFB1D497021E}" name="_12_29_25" displayName="_12_29_25" ref="A1:S28" tableType="queryTable" totalsRowShown="0">
  <autoFilter ref="A1:S28" xr:uid="{261A6FA3-AE15-4602-B5A4-CFB1D497021E}"/>
  <tableColumns count="19">
    <tableColumn id="1" xr3:uid="{3D4F12A4-85C7-4FE6-ACE5-E5F6F18CC096}" uniqueName="1" name="As Of Date" queryTableFieldId="1" dataDxfId="69"/>
    <tableColumn id="2" xr3:uid="{A0889E5B-F106-45CE-B0EE-A506F6FFF604}" uniqueName="2" name="Credit Amount" queryTableFieldId="2"/>
    <tableColumn id="3" xr3:uid="{34635E56-CA8E-4903-81A6-245A2A7F9D34}" uniqueName="3" name="Recipient ID" queryTableFieldId="3"/>
    <tableColumn id="4" xr3:uid="{4CB3B111-4FD0-4C90-A020-94EB00E73A18}" uniqueName="4" name="Sending Company Name" queryTableFieldId="4" dataDxfId="68"/>
    <tableColumn id="5" xr3:uid="{C572CDB7-F551-421F-9221-C74A80F08BDE}" uniqueName="5" name="Recipient Name" queryTableFieldId="5" dataDxfId="67"/>
    <tableColumn id="6" xr3:uid="{EB66FD2B-FA1E-4840-BF54-2FB64A96F0F1}" uniqueName="6" name="ACH #" queryTableFieldId="6" dataDxfId="66"/>
    <tableColumn id="7" xr3:uid="{B21C0AC0-857A-4B39-A573-F5CA25CD831E}" uniqueName="7" name="Value Date" queryTableFieldId="7" dataDxfId="65"/>
    <tableColumn id="8" xr3:uid="{17A429E3-CF12-44EA-9A58-98E786289C74}" uniqueName="8" name="Remittance Information" queryTableFieldId="8" dataDxfId="64"/>
    <tableColumn id="9" xr3:uid="{4B863CB4-BF76-4047-8B2D-3C0D3D05D5E0}" uniqueName="9" name="End to End Reference" queryTableFieldId="9" dataDxfId="63"/>
    <tableColumn id="10" xr3:uid="{38B2966E-C96C-4561-816A-42CE7533AEB9}" uniqueName="10" name="Bank Reference" queryTableFieldId="10"/>
    <tableColumn id="11" xr3:uid="{F1646F78-E447-47BB-8EF7-D79BD75F4E79}" uniqueName="11" name="Payment Purpose" queryTableFieldId="11" dataDxfId="62"/>
    <tableColumn id="12" xr3:uid="{317C2F10-0D4A-4422-A891-ABE1F1E5A497}" uniqueName="12" name="Purpose Description" queryTableFieldId="12" dataDxfId="61"/>
    <tableColumn id="13" xr3:uid="{A9BC5BE4-BB4C-4ED3-840F-C3013650FAAD}" uniqueName="13" name="Remittance Type" queryTableFieldId="13" dataDxfId="60"/>
    <tableColumn id="14" xr3:uid="{26C7E2D9-1090-40D5-888F-B9F916F84E37}" uniqueName="14" name="Sending Bank ID" queryTableFieldId="14" dataDxfId="59"/>
    <tableColumn id="15" xr3:uid="{73815917-4F44-40FB-AA6F-F671FDDB4A75}" uniqueName="15" name="Trace Number" queryTableFieldId="15"/>
    <tableColumn id="16" xr3:uid="{46C4A1AA-CA74-42C8-8EB7-40182B188FE6}" uniqueName="16" name="Unique ID" queryTableFieldId="16"/>
    <tableColumn id="17" xr3:uid="{D59D943D-0624-4754-BEDF-FD08587761B1}" uniqueName="17" name="Foreign Exchange Rate" queryTableFieldId="17" dataDxfId="58"/>
    <tableColumn id="18" xr3:uid="{B73644BB-6E40-41DB-9CBB-F978A23CB1EE}" uniqueName="18" name="Received Amount" queryTableFieldId="18" dataDxfId="57"/>
    <tableColumn id="19" xr3:uid="{4E004D08-E152-4137-9E2E-A99410EBD798}" uniqueName="19" name="Received Currency" queryTableFieldId="19" dataDxfId="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8FEC8F-7C85-4EB0-9CAD-58277257526B}" name="_12_26_25" displayName="_12_26_25" ref="A1:S6" tableType="queryTable" totalsRowShown="0">
  <autoFilter ref="A1:S6" xr:uid="{B68FEC8F-7C85-4EB0-9CAD-58277257526B}"/>
  <tableColumns count="19">
    <tableColumn id="1" xr3:uid="{8201F36B-EE94-46F2-895C-E10970C62BCC}" uniqueName="1" name="As Of Date" queryTableFieldId="1" dataDxfId="55"/>
    <tableColumn id="2" xr3:uid="{D5EE6A68-9FB9-4746-8615-EEE14F6894AD}" uniqueName="2" name="Credit Amount" queryTableFieldId="2"/>
    <tableColumn id="3" xr3:uid="{088B9B26-2E3A-44BD-97B1-5C95FEBAC163}" uniqueName="3" name="Recipient ID" queryTableFieldId="3"/>
    <tableColumn id="4" xr3:uid="{11A1430D-1261-49C0-A48D-3468A4BF1AD0}" uniqueName="4" name="Sending Company Name" queryTableFieldId="4" dataDxfId="54"/>
    <tableColumn id="5" xr3:uid="{6CDA2579-1D51-42AE-AA10-5E192A39BFA2}" uniqueName="5" name="Recipient Name" queryTableFieldId="5" dataDxfId="53"/>
    <tableColumn id="6" xr3:uid="{6D36956E-F6CE-4A8D-96F5-9B0E65A1917A}" uniqueName="6" name="ACH #" queryTableFieldId="6" dataDxfId="52"/>
    <tableColumn id="7" xr3:uid="{5650AF92-ED10-4DA3-A30A-B8E0CA2D9663}" uniqueName="7" name="Value Date" queryTableFieldId="7" dataDxfId="51"/>
    <tableColumn id="8" xr3:uid="{76092938-560A-4C11-B9AA-325894E416A4}" uniqueName="8" name="Remittance Information" queryTableFieldId="8" dataDxfId="50"/>
    <tableColumn id="9" xr3:uid="{94E6DAE5-3C6B-4B19-BB69-C0FB2503F393}" uniqueName="9" name="End to End Reference" queryTableFieldId="9" dataDxfId="49"/>
    <tableColumn id="10" xr3:uid="{067B9B15-EF22-49E9-8C9C-AC1196E27FCE}" uniqueName="10" name="Bank Reference" queryTableFieldId="10"/>
    <tableColumn id="11" xr3:uid="{E23A2B18-5732-4DC0-A192-15FCC602DB85}" uniqueName="11" name="Payment Purpose" queryTableFieldId="11" dataDxfId="48"/>
    <tableColumn id="12" xr3:uid="{396E4B64-A7C3-4805-B13A-8A0221F8C345}" uniqueName="12" name="Purpose Description" queryTableFieldId="12" dataDxfId="47"/>
    <tableColumn id="13" xr3:uid="{7AA23A4B-2BA1-4619-91A8-46C8A6FDC080}" uniqueName="13" name="Remittance Type" queryTableFieldId="13" dataDxfId="46"/>
    <tableColumn id="14" xr3:uid="{A65E48BA-86A1-4554-8315-739A66565CB3}" uniqueName="14" name="Sending Bank ID" queryTableFieldId="14" dataDxfId="45"/>
    <tableColumn id="15" xr3:uid="{58330C11-DF22-426A-A2FC-5DF162ACA1B7}" uniqueName="15" name="Trace Number" queryTableFieldId="15"/>
    <tableColumn id="16" xr3:uid="{BAC481E6-44AE-4F5B-80B4-C2C3069CBE27}" uniqueName="16" name="Unique ID" queryTableFieldId="16"/>
    <tableColumn id="17" xr3:uid="{E5E404AC-9C67-43B6-8A61-6914C3853830}" uniqueName="17" name="Foreign Exchange Rate" queryTableFieldId="17" dataDxfId="44"/>
    <tableColumn id="18" xr3:uid="{463DFB12-2B34-40C6-B363-1C9EE4C45C84}" uniqueName="18" name="Received Amount" queryTableFieldId="18" dataDxfId="43"/>
    <tableColumn id="19" xr3:uid="{01A1F922-0A74-4512-89DA-5AF42157882C}" uniqueName="19" name="Received Currency" queryTableFieldId="19" dataDxfId="4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2FF817-246E-4C00-AF71-0A58EA3D2CFB}" name="_12_24_25" displayName="_12_24_25" ref="A1:S15" tableType="queryTable" totalsRowShown="0">
  <autoFilter ref="A1:S15" xr:uid="{6C2FF817-246E-4C00-AF71-0A58EA3D2CFB}"/>
  <tableColumns count="19">
    <tableColumn id="1" xr3:uid="{B7B9D45F-E42F-46B3-8BED-A36DAEA853A2}" uniqueName="1" name="As Of Date" queryTableFieldId="1" dataDxfId="41"/>
    <tableColumn id="2" xr3:uid="{09D2F1F7-4671-4AB7-90BE-2483CECF01C1}" uniqueName="2" name="Credit Amount" queryTableFieldId="2"/>
    <tableColumn id="3" xr3:uid="{7E4BD080-9F5A-4505-80AC-F87B7B2100EF}" uniqueName="3" name="Recipient ID" queryTableFieldId="3"/>
    <tableColumn id="4" xr3:uid="{294691F2-45D3-4FEB-971D-3603EDDD067F}" uniqueName="4" name="Sending Company Name" queryTableFieldId="4" dataDxfId="40"/>
    <tableColumn id="5" xr3:uid="{C7313351-57B0-4214-A0BF-F914F7F864B9}" uniqueName="5" name="Recipient Name" queryTableFieldId="5" dataDxfId="39"/>
    <tableColumn id="6" xr3:uid="{1DC11E58-DA8E-40A7-B22C-BB0255B555F0}" uniqueName="6" name="ACH#" queryTableFieldId="6" dataDxfId="38"/>
    <tableColumn id="7" xr3:uid="{E6EC541D-5AD8-4B4D-AEFD-F4618CE42989}" uniqueName="7" name="Value Date" queryTableFieldId="7" dataDxfId="37"/>
    <tableColumn id="8" xr3:uid="{5095A8AC-76EC-4907-9855-DD524D8B4177}" uniqueName="8" name="Remittance Information" queryTableFieldId="8" dataDxfId="36"/>
    <tableColumn id="9" xr3:uid="{5882862C-5EDF-49BD-8CD7-9A8ADAF82B7D}" uniqueName="9" name="End to End Reference" queryTableFieldId="9" dataDxfId="35"/>
    <tableColumn id="10" xr3:uid="{8A4BC56F-DC9D-4AD9-BAF3-6B1D720345F5}" uniqueName="10" name="Bank Reference" queryTableFieldId="10"/>
    <tableColumn id="11" xr3:uid="{66BFB90D-8639-4576-8C1C-8F9DB102A774}" uniqueName="11" name="Payment Purpose" queryTableFieldId="11" dataDxfId="34"/>
    <tableColumn id="12" xr3:uid="{D597F2AB-BC74-429C-A775-1A962D38D187}" uniqueName="12" name="Purpose Description" queryTableFieldId="12" dataDxfId="33"/>
    <tableColumn id="13" xr3:uid="{98977AB0-DC07-4AEB-8410-1A2CEB78884D}" uniqueName="13" name="Remittance Type" queryTableFieldId="13" dataDxfId="32"/>
    <tableColumn id="14" xr3:uid="{8A286F06-D733-4A76-B790-08CF3265A628}" uniqueName="14" name="Sending Bank ID" queryTableFieldId="14" dataDxfId="31"/>
    <tableColumn id="15" xr3:uid="{1CC7E93D-055F-4D41-B79A-8A494474BBC2}" uniqueName="15" name="Trace Number" queryTableFieldId="15"/>
    <tableColumn id="16" xr3:uid="{9C1634E9-1CAE-4F0E-AB00-4C0CDEFB00C5}" uniqueName="16" name="Unique ID" queryTableFieldId="16"/>
    <tableColumn id="17" xr3:uid="{E9C47F16-7153-4CC3-A361-EBB0C7CDE1DB}" uniqueName="17" name="Foreign Exchange Rate" queryTableFieldId="17" dataDxfId="30"/>
    <tableColumn id="18" xr3:uid="{DEA5540D-9105-4013-B0DE-DE6B6CB4D51E}" uniqueName="18" name="Received Amount" queryTableFieldId="18" dataDxfId="29"/>
    <tableColumn id="19" xr3:uid="{5AA4E614-3B13-454F-9836-0A88F1B0953B}" uniqueName="19" name="Received Currency" queryTableFieldId="19" dataDxfId="2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A46ADD-9EA8-4B43-B286-BE065EA2CC5B}" name="_12_23_25" displayName="_12_23_25" ref="A1:S17" tableType="queryTable" totalsRowShown="0">
  <autoFilter ref="A1:S17" xr:uid="{04A46ADD-9EA8-4B43-B286-BE065EA2CC5B}"/>
  <tableColumns count="19">
    <tableColumn id="1" xr3:uid="{E15A6CAE-996D-4D01-92EF-8174429CBF25}" uniqueName="1" name="As Of Date" queryTableFieldId="1" dataDxfId="27"/>
    <tableColumn id="2" xr3:uid="{36EE5DC0-D61D-4A26-B28A-C487AD479ECF}" uniqueName="2" name="Credit Amount" queryTableFieldId="2"/>
    <tableColumn id="3" xr3:uid="{754A8393-C849-49A4-9FBE-C2EB51B51A25}" uniqueName="3" name="Recipient ID" queryTableFieldId="3"/>
    <tableColumn id="4" xr3:uid="{4EC367A0-405F-438D-87DC-85653A784B08}" uniqueName="4" name="Sending Company Name" queryTableFieldId="4" dataDxfId="26"/>
    <tableColumn id="5" xr3:uid="{FB8D2FDE-3F99-458E-BF41-B4DD02D6BAB9}" uniqueName="5" name="Recipient Name" queryTableFieldId="5" dataDxfId="25"/>
    <tableColumn id="6" xr3:uid="{83492320-5EF8-4950-BC3F-BA9E0FCF25C9}" uniqueName="6" name="ACH #" queryTableFieldId="6" dataDxfId="24"/>
    <tableColumn id="7" xr3:uid="{20A1A336-C920-4B27-8C5F-34E2C8A9A15D}" uniqueName="7" name="Value Date" queryTableFieldId="7" dataDxfId="23"/>
    <tableColumn id="8" xr3:uid="{70BC8C4D-DF08-4455-8F32-548E021C34C2}" uniqueName="8" name="Remittance Information" queryTableFieldId="8" dataDxfId="22"/>
    <tableColumn id="9" xr3:uid="{284B1634-53B7-4CA5-AAC4-555BA61D3C30}" uniqueName="9" name="End to End Reference" queryTableFieldId="9" dataDxfId="21"/>
    <tableColumn id="10" xr3:uid="{55ABF0F9-05F6-4D72-B69F-20BA11E00643}" uniqueName="10" name="Bank Reference" queryTableFieldId="10"/>
    <tableColumn id="11" xr3:uid="{1AE35691-038B-4637-95C9-7F696CBBC516}" uniqueName="11" name="Payment Purpose" queryTableFieldId="11" dataDxfId="20"/>
    <tableColumn id="12" xr3:uid="{453488E7-A564-45B5-9EE7-A8358D387873}" uniqueName="12" name="Purpose Description" queryTableFieldId="12" dataDxfId="19"/>
    <tableColumn id="13" xr3:uid="{8EC68B7D-54C6-4CA7-82B3-A8E7A5A9929B}" uniqueName="13" name="Remittance Type" queryTableFieldId="13" dataDxfId="18"/>
    <tableColumn id="14" xr3:uid="{C2B7A34A-696E-437B-98A8-EFFF1B8C2F17}" uniqueName="14" name="Sending Bank ID" queryTableFieldId="14" dataDxfId="17"/>
    <tableColumn id="15" xr3:uid="{0545A4FF-9203-454A-BA80-9642FC2DE12B}" uniqueName="15" name="Trace Number" queryTableFieldId="15"/>
    <tableColumn id="16" xr3:uid="{2A1021AC-8657-4413-B73C-414ECF2CF075}" uniqueName="16" name="Unique ID" queryTableFieldId="16"/>
    <tableColumn id="17" xr3:uid="{C456EE1B-28FC-43F4-8BEC-D40265309641}" uniqueName="17" name="Foreign Exchange Rate" queryTableFieldId="17" dataDxfId="16"/>
    <tableColumn id="18" xr3:uid="{9FB110E3-5B6D-465F-A06B-57D6792A8CA3}" uniqueName="18" name="Received Amount" queryTableFieldId="18" dataDxfId="15"/>
    <tableColumn id="19" xr3:uid="{BA5348BE-7304-43DA-9A12-5E2C6A833046}" uniqueName="19" name="Received Currency" queryTableFieldId="19" dataDxf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19E869-7ACA-4FB9-89C7-5E1348FF9D70}" name="_12_22_25" displayName="_12_22_25" ref="A1:S24" tableType="queryTable" totalsRowShown="0">
  <autoFilter ref="A1:S24" xr:uid="{F919E869-7ACA-4FB9-89C7-5E1348FF9D70}"/>
  <tableColumns count="19">
    <tableColumn id="1" xr3:uid="{707911CD-016D-4842-8530-0A2BF8F78AB4}" uniqueName="1" name="As Of Date" queryTableFieldId="1" dataDxfId="13"/>
    <tableColumn id="2" xr3:uid="{823553BF-D931-4D03-87D0-EE679C8F3E8C}" uniqueName="2" name="Credit Amount" queryTableFieldId="2"/>
    <tableColumn id="3" xr3:uid="{4468F1A2-9BB9-49FB-AC2D-08F503D00DA1}" uniqueName="3" name="Recipient ID" queryTableFieldId="3"/>
    <tableColumn id="4" xr3:uid="{2E7F75D9-94C0-4360-A720-26646211A11F}" uniqueName="4" name="Sending Company Name" queryTableFieldId="4" dataDxfId="12"/>
    <tableColumn id="5" xr3:uid="{F22B7186-AC41-47EA-BEC8-58CFDC26C595}" uniqueName="5" name="Recipient Name" queryTableFieldId="5" dataDxfId="11"/>
    <tableColumn id="6" xr3:uid="{9BC51D66-C0BF-4927-A097-6C55A97183A0}" uniqueName="6" name="ACH #" queryTableFieldId="6" dataDxfId="10"/>
    <tableColumn id="7" xr3:uid="{07D99B7C-21D0-4ABC-9498-42DB244AFC8F}" uniqueName="7" name="Value Date" queryTableFieldId="7" dataDxfId="9"/>
    <tableColumn id="8" xr3:uid="{2421A2EF-48FB-4E70-BB7D-C8733B319F57}" uniqueName="8" name="Remittance Information" queryTableFieldId="8" dataDxfId="8"/>
    <tableColumn id="9" xr3:uid="{043157B3-86E6-4E91-9789-1F784279E946}" uniqueName="9" name="End to End Reference" queryTableFieldId="9" dataDxfId="7"/>
    <tableColumn id="10" xr3:uid="{5F549425-244A-41A2-A535-DEA3E0504A2F}" uniqueName="10" name="Bank Reference" queryTableFieldId="10"/>
    <tableColumn id="11" xr3:uid="{C431F4CB-1F9F-49EF-B0D6-B296360ED37A}" uniqueName="11" name="Payment Purpose" queryTableFieldId="11" dataDxfId="6"/>
    <tableColumn id="12" xr3:uid="{11B3168C-39BF-4568-8C69-508871D51EEE}" uniqueName="12" name="Purpose Description" queryTableFieldId="12" dataDxfId="5"/>
    <tableColumn id="13" xr3:uid="{F47D5017-8B65-4B3B-A811-9950A3C735FC}" uniqueName="13" name="Remittance Type" queryTableFieldId="13" dataDxfId="4"/>
    <tableColumn id="14" xr3:uid="{87EA519A-B9D5-4184-97CB-59D173D55587}" uniqueName="14" name="Sending Bank ID" queryTableFieldId="14" dataDxfId="3"/>
    <tableColumn id="15" xr3:uid="{980D36BE-5A53-4FFC-BB31-EE1E2DAB01D8}" uniqueName="15" name="Trace Number" queryTableFieldId="15"/>
    <tableColumn id="16" xr3:uid="{D0FE25EC-4D02-4D7B-9550-95FD488259E8}" uniqueName="16" name="Unique ID" queryTableFieldId="16"/>
    <tableColumn id="17" xr3:uid="{88B207A7-6D0C-4C86-9080-F06F0CD8CFFA}" uniqueName="17" name="Foreign Exchange Rate" queryTableFieldId="17" dataDxfId="2"/>
    <tableColumn id="18" xr3:uid="{5C513BDD-832D-4D82-91AA-3C69095AB72C}" uniqueName="18" name="Received Amount" queryTableFieldId="18" dataDxfId="1"/>
    <tableColumn id="19" xr3:uid="{9A1C7587-5E2A-4777-A6E7-90F984C4C60C}" uniqueName="19" name="Received Currency"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72E6F-3B02-4BC9-838F-D9B7CFB28494}">
  <sheetPr>
    <pageSetUpPr fitToPage="1"/>
  </sheetPr>
  <dimension ref="A1"/>
  <sheetViews>
    <sheetView tabSelected="1" zoomScale="80" zoomScaleNormal="80" workbookViewId="0">
      <selection activeCell="AD45" sqref="A1:AD45"/>
    </sheetView>
  </sheetViews>
  <sheetFormatPr defaultRowHeight="15" x14ac:dyDescent="0.25"/>
  <sheetData/>
  <pageMargins left="0.25" right="0.25" top="0.75" bottom="0.75" header="0.3" footer="0.3"/>
  <pageSetup scale="4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5B90-27F8-49A3-9DE7-A65B114E73D5}">
  <dimension ref="A3:B9"/>
  <sheetViews>
    <sheetView topLeftCell="A4" workbookViewId="0">
      <selection activeCell="P18" sqref="P18"/>
    </sheetView>
  </sheetViews>
  <sheetFormatPr defaultRowHeight="15" x14ac:dyDescent="0.25"/>
  <cols>
    <col min="1" max="1" width="24.42578125" bestFit="1" customWidth="1"/>
    <col min="2" max="2" width="4" bestFit="1" customWidth="1"/>
  </cols>
  <sheetData>
    <row r="3" spans="1:2" x14ac:dyDescent="0.25">
      <c r="A3" s="27" t="s">
        <v>221</v>
      </c>
      <c r="B3" t="s">
        <v>248</v>
      </c>
    </row>
    <row r="4" spans="1:2" x14ac:dyDescent="0.25">
      <c r="A4" s="28" t="s">
        <v>50</v>
      </c>
      <c r="B4">
        <v>64</v>
      </c>
    </row>
    <row r="5" spans="1:2" x14ac:dyDescent="0.25">
      <c r="A5" s="28" t="s">
        <v>227</v>
      </c>
      <c r="B5">
        <v>1</v>
      </c>
    </row>
    <row r="6" spans="1:2" x14ac:dyDescent="0.25">
      <c r="A6" s="28" t="s">
        <v>35</v>
      </c>
      <c r="B6">
        <v>11</v>
      </c>
    </row>
    <row r="7" spans="1:2" x14ac:dyDescent="0.25">
      <c r="A7" s="28" t="s">
        <v>225</v>
      </c>
      <c r="B7">
        <v>22</v>
      </c>
    </row>
    <row r="8" spans="1:2" x14ac:dyDescent="0.25">
      <c r="A8" s="28" t="s">
        <v>226</v>
      </c>
      <c r="B8">
        <v>23</v>
      </c>
    </row>
    <row r="9" spans="1:2" x14ac:dyDescent="0.25">
      <c r="A9" s="28" t="s">
        <v>222</v>
      </c>
      <c r="B9">
        <v>121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F61B-CE40-4B83-A4F8-ABA5B44C67D0}">
  <dimension ref="A3:D45"/>
  <sheetViews>
    <sheetView workbookViewId="0">
      <selection activeCell="A3" sqref="A3"/>
    </sheetView>
  </sheetViews>
  <sheetFormatPr defaultRowHeight="15" x14ac:dyDescent="0.25"/>
  <cols>
    <col min="1" max="1" width="28.140625" bestFit="1" customWidth="1"/>
    <col min="2" max="2" width="16.85546875" bestFit="1" customWidth="1"/>
    <col min="3" max="3" width="7.85546875" bestFit="1" customWidth="1"/>
    <col min="4" max="4" width="11.28515625" bestFit="1" customWidth="1"/>
    <col min="5" max="5" width="14.85546875" bestFit="1" customWidth="1"/>
    <col min="6" max="7" width="19.85546875" bestFit="1" customWidth="1"/>
  </cols>
  <sheetData>
    <row r="3" spans="1:4" x14ac:dyDescent="0.25">
      <c r="A3" s="27" t="s">
        <v>247</v>
      </c>
      <c r="B3" s="27" t="s">
        <v>224</v>
      </c>
    </row>
    <row r="4" spans="1:4" x14ac:dyDescent="0.25">
      <c r="A4" s="27" t="s">
        <v>221</v>
      </c>
      <c r="B4" t="s">
        <v>219</v>
      </c>
      <c r="C4" t="s">
        <v>220</v>
      </c>
      <c r="D4" t="s">
        <v>222</v>
      </c>
    </row>
    <row r="5" spans="1:4" x14ac:dyDescent="0.25">
      <c r="A5" s="28" t="s">
        <v>50</v>
      </c>
      <c r="B5" s="34">
        <v>50</v>
      </c>
      <c r="C5" s="34">
        <v>14</v>
      </c>
      <c r="D5" s="34">
        <v>64</v>
      </c>
    </row>
    <row r="6" spans="1:4" x14ac:dyDescent="0.25">
      <c r="A6" s="29" t="s">
        <v>236</v>
      </c>
      <c r="B6" s="34">
        <v>1</v>
      </c>
      <c r="C6" s="34"/>
      <c r="D6" s="34">
        <v>1</v>
      </c>
    </row>
    <row r="7" spans="1:4" x14ac:dyDescent="0.25">
      <c r="A7" s="29" t="s">
        <v>228</v>
      </c>
      <c r="B7" s="34">
        <v>7</v>
      </c>
      <c r="C7" s="34"/>
      <c r="D7" s="34">
        <v>7</v>
      </c>
    </row>
    <row r="8" spans="1:4" x14ac:dyDescent="0.25">
      <c r="A8" s="29" t="s">
        <v>127</v>
      </c>
      <c r="B8" s="34"/>
      <c r="C8" s="34">
        <v>2</v>
      </c>
      <c r="D8" s="34">
        <v>2</v>
      </c>
    </row>
    <row r="9" spans="1:4" x14ac:dyDescent="0.25">
      <c r="A9" s="29" t="s">
        <v>238</v>
      </c>
      <c r="B9" s="34">
        <v>3</v>
      </c>
      <c r="C9" s="34"/>
      <c r="D9" s="34">
        <v>3</v>
      </c>
    </row>
    <row r="10" spans="1:4" x14ac:dyDescent="0.25">
      <c r="A10" s="29" t="s">
        <v>230</v>
      </c>
      <c r="B10" s="34">
        <v>11</v>
      </c>
      <c r="C10" s="34"/>
      <c r="D10" s="34">
        <v>11</v>
      </c>
    </row>
    <row r="11" spans="1:4" x14ac:dyDescent="0.25">
      <c r="A11" s="29" t="s">
        <v>150</v>
      </c>
      <c r="B11" s="34"/>
      <c r="C11" s="34">
        <v>4</v>
      </c>
      <c r="D11" s="34">
        <v>4</v>
      </c>
    </row>
    <row r="12" spans="1:4" x14ac:dyDescent="0.25">
      <c r="A12" s="29" t="s">
        <v>237</v>
      </c>
      <c r="B12" s="34"/>
      <c r="C12" s="34">
        <v>2</v>
      </c>
      <c r="D12" s="34">
        <v>2</v>
      </c>
    </row>
    <row r="13" spans="1:4" x14ac:dyDescent="0.25">
      <c r="A13" s="29" t="s">
        <v>240</v>
      </c>
      <c r="B13" s="34">
        <v>1</v>
      </c>
      <c r="C13" s="34"/>
      <c r="D13" s="34">
        <v>1</v>
      </c>
    </row>
    <row r="14" spans="1:4" x14ac:dyDescent="0.25">
      <c r="A14" s="29" t="s">
        <v>246</v>
      </c>
      <c r="B14" s="34"/>
      <c r="C14" s="34">
        <v>1</v>
      </c>
      <c r="D14" s="34">
        <v>1</v>
      </c>
    </row>
    <row r="15" spans="1:4" x14ac:dyDescent="0.25">
      <c r="A15" s="29" t="s">
        <v>235</v>
      </c>
      <c r="B15" s="34">
        <v>7</v>
      </c>
      <c r="C15" s="34"/>
      <c r="D15" s="34">
        <v>7</v>
      </c>
    </row>
    <row r="16" spans="1:4" x14ac:dyDescent="0.25">
      <c r="A16" s="29" t="s">
        <v>241</v>
      </c>
      <c r="B16" s="34"/>
      <c r="C16" s="34">
        <v>1</v>
      </c>
      <c r="D16" s="34">
        <v>1</v>
      </c>
    </row>
    <row r="17" spans="1:4" x14ac:dyDescent="0.25">
      <c r="A17" s="29" t="s">
        <v>231</v>
      </c>
      <c r="B17" s="34">
        <v>6</v>
      </c>
      <c r="C17" s="34"/>
      <c r="D17" s="34">
        <v>6</v>
      </c>
    </row>
    <row r="18" spans="1:4" x14ac:dyDescent="0.25">
      <c r="A18" s="29" t="s">
        <v>234</v>
      </c>
      <c r="B18" s="34"/>
      <c r="C18" s="34">
        <v>1</v>
      </c>
      <c r="D18" s="34">
        <v>1</v>
      </c>
    </row>
    <row r="19" spans="1:4" x14ac:dyDescent="0.25">
      <c r="A19" s="29" t="s">
        <v>233</v>
      </c>
      <c r="B19" s="34">
        <v>14</v>
      </c>
      <c r="C19" s="34"/>
      <c r="D19" s="34">
        <v>14</v>
      </c>
    </row>
    <row r="20" spans="1:4" x14ac:dyDescent="0.25">
      <c r="A20" s="29" t="s">
        <v>190</v>
      </c>
      <c r="B20" s="34"/>
      <c r="C20" s="34">
        <v>1</v>
      </c>
      <c r="D20" s="34">
        <v>1</v>
      </c>
    </row>
    <row r="21" spans="1:4" x14ac:dyDescent="0.25">
      <c r="A21" s="29" t="s">
        <v>239</v>
      </c>
      <c r="B21" s="34"/>
      <c r="C21" s="34">
        <v>2</v>
      </c>
      <c r="D21" s="34">
        <v>2</v>
      </c>
    </row>
    <row r="22" spans="1:4" x14ac:dyDescent="0.25">
      <c r="A22" s="28" t="s">
        <v>227</v>
      </c>
      <c r="B22" s="34"/>
      <c r="C22" s="34">
        <v>1</v>
      </c>
      <c r="D22" s="34">
        <v>1</v>
      </c>
    </row>
    <row r="23" spans="1:4" x14ac:dyDescent="0.25">
      <c r="A23" s="29" t="s">
        <v>233</v>
      </c>
      <c r="B23" s="34"/>
      <c r="C23" s="34">
        <v>1</v>
      </c>
      <c r="D23" s="34">
        <v>1</v>
      </c>
    </row>
    <row r="24" spans="1:4" x14ac:dyDescent="0.25">
      <c r="A24" s="28" t="s">
        <v>35</v>
      </c>
      <c r="B24" s="34">
        <v>7</v>
      </c>
      <c r="C24" s="34">
        <v>4</v>
      </c>
      <c r="D24" s="34">
        <v>11</v>
      </c>
    </row>
    <row r="25" spans="1:4" x14ac:dyDescent="0.25">
      <c r="A25" s="29" t="s">
        <v>238</v>
      </c>
      <c r="B25" s="34">
        <v>3</v>
      </c>
      <c r="C25" s="34"/>
      <c r="D25" s="34">
        <v>3</v>
      </c>
    </row>
    <row r="26" spans="1:4" x14ac:dyDescent="0.25">
      <c r="A26" s="29" t="s">
        <v>230</v>
      </c>
      <c r="B26" s="34">
        <v>4</v>
      </c>
      <c r="C26" s="34"/>
      <c r="D26" s="34">
        <v>4</v>
      </c>
    </row>
    <row r="27" spans="1:4" x14ac:dyDescent="0.25">
      <c r="A27" s="29" t="s">
        <v>237</v>
      </c>
      <c r="B27" s="34"/>
      <c r="C27" s="34">
        <v>1</v>
      </c>
      <c r="D27" s="34">
        <v>1</v>
      </c>
    </row>
    <row r="28" spans="1:4" x14ac:dyDescent="0.25">
      <c r="A28" s="29" t="s">
        <v>233</v>
      </c>
      <c r="B28" s="34"/>
      <c r="C28" s="34">
        <v>2</v>
      </c>
      <c r="D28" s="34">
        <v>2</v>
      </c>
    </row>
    <row r="29" spans="1:4" x14ac:dyDescent="0.25">
      <c r="A29" s="29" t="s">
        <v>232</v>
      </c>
      <c r="B29" s="34"/>
      <c r="C29" s="34">
        <v>1</v>
      </c>
      <c r="D29" s="34">
        <v>1</v>
      </c>
    </row>
    <row r="30" spans="1:4" x14ac:dyDescent="0.25">
      <c r="A30" s="28" t="s">
        <v>225</v>
      </c>
      <c r="B30" s="34">
        <v>16</v>
      </c>
      <c r="C30" s="34">
        <v>6</v>
      </c>
      <c r="D30" s="34">
        <v>22</v>
      </c>
    </row>
    <row r="31" spans="1:4" x14ac:dyDescent="0.25">
      <c r="A31" s="29" t="s">
        <v>238</v>
      </c>
      <c r="B31" s="34">
        <v>4</v>
      </c>
      <c r="C31" s="34"/>
      <c r="D31" s="34">
        <v>4</v>
      </c>
    </row>
    <row r="32" spans="1:4" x14ac:dyDescent="0.25">
      <c r="A32" s="29" t="s">
        <v>230</v>
      </c>
      <c r="B32" s="34">
        <v>8</v>
      </c>
      <c r="C32" s="34"/>
      <c r="D32" s="34">
        <v>8</v>
      </c>
    </row>
    <row r="33" spans="1:4" x14ac:dyDescent="0.25">
      <c r="A33" s="29" t="s">
        <v>237</v>
      </c>
      <c r="B33" s="34"/>
      <c r="C33" s="34">
        <v>3</v>
      </c>
      <c r="D33" s="34">
        <v>3</v>
      </c>
    </row>
    <row r="34" spans="1:4" x14ac:dyDescent="0.25">
      <c r="A34" s="29" t="s">
        <v>231</v>
      </c>
      <c r="B34" s="34">
        <v>4</v>
      </c>
      <c r="C34" s="34"/>
      <c r="D34" s="34">
        <v>4</v>
      </c>
    </row>
    <row r="35" spans="1:4" x14ac:dyDescent="0.25">
      <c r="A35" s="29" t="s">
        <v>234</v>
      </c>
      <c r="B35" s="34"/>
      <c r="C35" s="34">
        <v>2</v>
      </c>
      <c r="D35" s="34">
        <v>2</v>
      </c>
    </row>
    <row r="36" spans="1:4" x14ac:dyDescent="0.25">
      <c r="A36" s="29" t="s">
        <v>239</v>
      </c>
      <c r="B36" s="34"/>
      <c r="C36" s="34">
        <v>1</v>
      </c>
      <c r="D36" s="34">
        <v>1</v>
      </c>
    </row>
    <row r="37" spans="1:4" x14ac:dyDescent="0.25">
      <c r="A37" s="28" t="s">
        <v>226</v>
      </c>
      <c r="B37" s="34">
        <v>23</v>
      </c>
      <c r="C37" s="34"/>
      <c r="D37" s="34">
        <v>23</v>
      </c>
    </row>
    <row r="38" spans="1:4" x14ac:dyDescent="0.25">
      <c r="A38" s="29" t="s">
        <v>228</v>
      </c>
      <c r="B38" s="34">
        <v>5</v>
      </c>
      <c r="C38" s="34"/>
      <c r="D38" s="34">
        <v>5</v>
      </c>
    </row>
    <row r="39" spans="1:4" x14ac:dyDescent="0.25">
      <c r="A39" s="29" t="s">
        <v>237</v>
      </c>
      <c r="B39" s="34">
        <v>2</v>
      </c>
      <c r="C39" s="34"/>
      <c r="D39" s="34">
        <v>2</v>
      </c>
    </row>
    <row r="40" spans="1:4" x14ac:dyDescent="0.25">
      <c r="A40" s="29" t="s">
        <v>229</v>
      </c>
      <c r="B40" s="34">
        <v>4</v>
      </c>
      <c r="C40" s="34"/>
      <c r="D40" s="34">
        <v>4</v>
      </c>
    </row>
    <row r="41" spans="1:4" x14ac:dyDescent="0.25">
      <c r="A41" s="29" t="s">
        <v>234</v>
      </c>
      <c r="B41" s="34">
        <v>1</v>
      </c>
      <c r="C41" s="34"/>
      <c r="D41" s="34">
        <v>1</v>
      </c>
    </row>
    <row r="42" spans="1:4" x14ac:dyDescent="0.25">
      <c r="A42" s="29" t="s">
        <v>233</v>
      </c>
      <c r="B42" s="34">
        <v>7</v>
      </c>
      <c r="C42" s="34"/>
      <c r="D42" s="34">
        <v>7</v>
      </c>
    </row>
    <row r="43" spans="1:4" x14ac:dyDescent="0.25">
      <c r="A43" s="29" t="s">
        <v>232</v>
      </c>
      <c r="B43" s="34">
        <v>3</v>
      </c>
      <c r="C43" s="34"/>
      <c r="D43" s="34">
        <v>3</v>
      </c>
    </row>
    <row r="44" spans="1:4" x14ac:dyDescent="0.25">
      <c r="A44" s="29" t="s">
        <v>239</v>
      </c>
      <c r="B44" s="34">
        <v>1</v>
      </c>
      <c r="C44" s="34"/>
      <c r="D44" s="34">
        <v>1</v>
      </c>
    </row>
    <row r="45" spans="1:4" x14ac:dyDescent="0.25">
      <c r="A45" s="28" t="s">
        <v>222</v>
      </c>
      <c r="B45" s="34">
        <v>96</v>
      </c>
      <c r="C45" s="34">
        <v>25</v>
      </c>
      <c r="D45" s="34">
        <v>121</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41D4-5758-41F1-9CF4-E108768F3F46}">
  <dimension ref="A3:G23"/>
  <sheetViews>
    <sheetView topLeftCell="A4" workbookViewId="0">
      <selection activeCell="F29" sqref="F29"/>
    </sheetView>
  </sheetViews>
  <sheetFormatPr defaultRowHeight="15" x14ac:dyDescent="0.25"/>
  <cols>
    <col min="1" max="1" width="16.5703125" bestFit="1" customWidth="1"/>
    <col min="2" max="2" width="25.5703125" bestFit="1" customWidth="1"/>
    <col min="3" max="3" width="8" bestFit="1" customWidth="1"/>
    <col min="4" max="4" width="26.28515625" bestFit="1" customWidth="1"/>
    <col min="5" max="5" width="19.28515625" bestFit="1" customWidth="1"/>
    <col min="6" max="6" width="24.5703125" bestFit="1" customWidth="1"/>
    <col min="7" max="7" width="11.28515625" bestFit="1" customWidth="1"/>
    <col min="8" max="8" width="5.7109375" bestFit="1" customWidth="1"/>
    <col min="9" max="9" width="7.42578125" bestFit="1" customWidth="1"/>
    <col min="10" max="10" width="6.5703125" bestFit="1" customWidth="1"/>
    <col min="11" max="11" width="9" bestFit="1" customWidth="1"/>
    <col min="12" max="12" width="9.42578125" bestFit="1" customWidth="1"/>
    <col min="13" max="13" width="9.85546875" bestFit="1" customWidth="1"/>
    <col min="14" max="14" width="11.140625" bestFit="1" customWidth="1"/>
    <col min="15" max="15" width="9.7109375" bestFit="1" customWidth="1"/>
    <col min="16" max="16" width="5.5703125" bestFit="1" customWidth="1"/>
    <col min="17" max="17" width="15.85546875" bestFit="1" customWidth="1"/>
    <col min="18" max="18" width="5.5703125" bestFit="1" customWidth="1"/>
    <col min="19" max="19" width="11.42578125" bestFit="1" customWidth="1"/>
    <col min="20" max="20" width="11.28515625" bestFit="1" customWidth="1"/>
  </cols>
  <sheetData>
    <row r="3" spans="1:7" x14ac:dyDescent="0.25">
      <c r="A3" s="27" t="s">
        <v>245</v>
      </c>
      <c r="B3" s="27" t="s">
        <v>224</v>
      </c>
    </row>
    <row r="4" spans="1:7" x14ac:dyDescent="0.25">
      <c r="A4" s="27" t="s">
        <v>221</v>
      </c>
      <c r="B4" t="s">
        <v>50</v>
      </c>
      <c r="C4" t="s">
        <v>227</v>
      </c>
      <c r="D4" t="s">
        <v>35</v>
      </c>
      <c r="E4" t="s">
        <v>225</v>
      </c>
      <c r="F4" t="s">
        <v>226</v>
      </c>
      <c r="G4" t="s">
        <v>222</v>
      </c>
    </row>
    <row r="5" spans="1:7" x14ac:dyDescent="0.25">
      <c r="A5" s="28" t="s">
        <v>236</v>
      </c>
      <c r="B5">
        <v>1</v>
      </c>
      <c r="G5">
        <v>1</v>
      </c>
    </row>
    <row r="6" spans="1:7" x14ac:dyDescent="0.25">
      <c r="A6" s="28" t="s">
        <v>228</v>
      </c>
      <c r="B6">
        <v>7</v>
      </c>
      <c r="F6">
        <v>5</v>
      </c>
      <c r="G6">
        <v>12</v>
      </c>
    </row>
    <row r="7" spans="1:7" x14ac:dyDescent="0.25">
      <c r="A7" s="28" t="s">
        <v>127</v>
      </c>
      <c r="B7">
        <v>2</v>
      </c>
      <c r="G7">
        <v>2</v>
      </c>
    </row>
    <row r="8" spans="1:7" x14ac:dyDescent="0.25">
      <c r="A8" s="28" t="s">
        <v>238</v>
      </c>
      <c r="B8">
        <v>3</v>
      </c>
      <c r="D8">
        <v>3</v>
      </c>
      <c r="E8">
        <v>4</v>
      </c>
      <c r="G8">
        <v>10</v>
      </c>
    </row>
    <row r="9" spans="1:7" x14ac:dyDescent="0.25">
      <c r="A9" s="28" t="s">
        <v>230</v>
      </c>
      <c r="B9">
        <v>11</v>
      </c>
      <c r="D9">
        <v>4</v>
      </c>
      <c r="E9">
        <v>8</v>
      </c>
      <c r="G9">
        <v>23</v>
      </c>
    </row>
    <row r="10" spans="1:7" x14ac:dyDescent="0.25">
      <c r="A10" s="28" t="s">
        <v>150</v>
      </c>
      <c r="B10">
        <v>4</v>
      </c>
      <c r="G10">
        <v>4</v>
      </c>
    </row>
    <row r="11" spans="1:7" x14ac:dyDescent="0.25">
      <c r="A11" s="28" t="s">
        <v>237</v>
      </c>
      <c r="B11">
        <v>2</v>
      </c>
      <c r="D11">
        <v>1</v>
      </c>
      <c r="E11">
        <v>3</v>
      </c>
      <c r="F11">
        <v>2</v>
      </c>
      <c r="G11">
        <v>8</v>
      </c>
    </row>
    <row r="12" spans="1:7" x14ac:dyDescent="0.25">
      <c r="A12" s="28" t="s">
        <v>229</v>
      </c>
      <c r="F12">
        <v>4</v>
      </c>
      <c r="G12">
        <v>4</v>
      </c>
    </row>
    <row r="13" spans="1:7" x14ac:dyDescent="0.25">
      <c r="A13" s="28" t="s">
        <v>240</v>
      </c>
      <c r="B13">
        <v>1</v>
      </c>
      <c r="G13">
        <v>1</v>
      </c>
    </row>
    <row r="14" spans="1:7" x14ac:dyDescent="0.25">
      <c r="A14" s="28" t="s">
        <v>246</v>
      </c>
      <c r="B14">
        <v>1</v>
      </c>
      <c r="G14">
        <v>1</v>
      </c>
    </row>
    <row r="15" spans="1:7" x14ac:dyDescent="0.25">
      <c r="A15" s="28" t="s">
        <v>235</v>
      </c>
      <c r="B15">
        <v>7</v>
      </c>
      <c r="G15">
        <v>7</v>
      </c>
    </row>
    <row r="16" spans="1:7" x14ac:dyDescent="0.25">
      <c r="A16" s="28" t="s">
        <v>241</v>
      </c>
      <c r="B16">
        <v>1</v>
      </c>
      <c r="G16">
        <v>1</v>
      </c>
    </row>
    <row r="17" spans="1:7" x14ac:dyDescent="0.25">
      <c r="A17" s="28" t="s">
        <v>231</v>
      </c>
      <c r="B17">
        <v>6</v>
      </c>
      <c r="E17">
        <v>4</v>
      </c>
      <c r="G17">
        <v>10</v>
      </c>
    </row>
    <row r="18" spans="1:7" x14ac:dyDescent="0.25">
      <c r="A18" s="28" t="s">
        <v>234</v>
      </c>
      <c r="B18">
        <v>1</v>
      </c>
      <c r="E18">
        <v>2</v>
      </c>
      <c r="F18">
        <v>1</v>
      </c>
      <c r="G18">
        <v>4</v>
      </c>
    </row>
    <row r="19" spans="1:7" x14ac:dyDescent="0.25">
      <c r="A19" s="28" t="s">
        <v>233</v>
      </c>
      <c r="B19">
        <v>14</v>
      </c>
      <c r="C19">
        <v>1</v>
      </c>
      <c r="D19">
        <v>2</v>
      </c>
      <c r="F19">
        <v>7</v>
      </c>
      <c r="G19">
        <v>24</v>
      </c>
    </row>
    <row r="20" spans="1:7" x14ac:dyDescent="0.25">
      <c r="A20" s="28" t="s">
        <v>190</v>
      </c>
      <c r="B20">
        <v>1</v>
      </c>
      <c r="G20">
        <v>1</v>
      </c>
    </row>
    <row r="21" spans="1:7" x14ac:dyDescent="0.25">
      <c r="A21" s="28" t="s">
        <v>232</v>
      </c>
      <c r="D21">
        <v>1</v>
      </c>
      <c r="F21">
        <v>3</v>
      </c>
      <c r="G21">
        <v>4</v>
      </c>
    </row>
    <row r="22" spans="1:7" x14ac:dyDescent="0.25">
      <c r="A22" s="28" t="s">
        <v>239</v>
      </c>
      <c r="B22">
        <v>2</v>
      </c>
      <c r="E22">
        <v>1</v>
      </c>
      <c r="F22">
        <v>1</v>
      </c>
      <c r="G22">
        <v>4</v>
      </c>
    </row>
    <row r="23" spans="1:7" x14ac:dyDescent="0.25">
      <c r="A23" s="28" t="s">
        <v>222</v>
      </c>
      <c r="B23">
        <v>64</v>
      </c>
      <c r="C23">
        <v>1</v>
      </c>
      <c r="D23">
        <v>11</v>
      </c>
      <c r="E23">
        <v>22</v>
      </c>
      <c r="F23">
        <v>23</v>
      </c>
      <c r="G23">
        <v>121</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2CD4-E14B-40BB-98B3-8C102823F6BA}">
  <dimension ref="A3:D10"/>
  <sheetViews>
    <sheetView workbookViewId="0">
      <selection activeCell="Q21" sqref="Q21"/>
    </sheetView>
  </sheetViews>
  <sheetFormatPr defaultRowHeight="15" x14ac:dyDescent="0.25"/>
  <cols>
    <col min="1" max="1" width="24.85546875" bestFit="1" customWidth="1"/>
    <col min="2" max="2" width="16.85546875" bestFit="1" customWidth="1"/>
    <col min="3" max="3" width="7.85546875" bestFit="1" customWidth="1"/>
    <col min="4" max="4" width="11.28515625" bestFit="1" customWidth="1"/>
  </cols>
  <sheetData>
    <row r="3" spans="1:4" x14ac:dyDescent="0.25">
      <c r="A3" s="27" t="s">
        <v>223</v>
      </c>
      <c r="B3" s="27" t="s">
        <v>224</v>
      </c>
    </row>
    <row r="4" spans="1:4" x14ac:dyDescent="0.25">
      <c r="A4" s="27" t="s">
        <v>221</v>
      </c>
      <c r="B4" t="s">
        <v>219</v>
      </c>
      <c r="C4" t="s">
        <v>220</v>
      </c>
      <c r="D4" t="s">
        <v>222</v>
      </c>
    </row>
    <row r="5" spans="1:4" x14ac:dyDescent="0.25">
      <c r="A5" s="28" t="s">
        <v>50</v>
      </c>
      <c r="B5">
        <v>50</v>
      </c>
      <c r="C5">
        <v>14</v>
      </c>
      <c r="D5">
        <v>64</v>
      </c>
    </row>
    <row r="6" spans="1:4" x14ac:dyDescent="0.25">
      <c r="A6" s="28" t="s">
        <v>227</v>
      </c>
      <c r="C6">
        <v>1</v>
      </c>
      <c r="D6">
        <v>1</v>
      </c>
    </row>
    <row r="7" spans="1:4" x14ac:dyDescent="0.25">
      <c r="A7" s="28" t="s">
        <v>35</v>
      </c>
      <c r="B7">
        <v>7</v>
      </c>
      <c r="C7">
        <v>4</v>
      </c>
      <c r="D7">
        <v>11</v>
      </c>
    </row>
    <row r="8" spans="1:4" x14ac:dyDescent="0.25">
      <c r="A8" s="28" t="s">
        <v>225</v>
      </c>
      <c r="B8">
        <v>16</v>
      </c>
      <c r="C8">
        <v>6</v>
      </c>
      <c r="D8">
        <v>22</v>
      </c>
    </row>
    <row r="9" spans="1:4" x14ac:dyDescent="0.25">
      <c r="A9" s="28" t="s">
        <v>226</v>
      </c>
      <c r="B9">
        <v>23</v>
      </c>
      <c r="D9">
        <v>23</v>
      </c>
    </row>
    <row r="10" spans="1:4" x14ac:dyDescent="0.25">
      <c r="A10" s="28" t="s">
        <v>222</v>
      </c>
      <c r="B10">
        <v>96</v>
      </c>
      <c r="C10">
        <v>25</v>
      </c>
      <c r="D10">
        <v>121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D06F-CB17-4AF1-A5ED-C537C5BA995C}">
  <dimension ref="A3:B22"/>
  <sheetViews>
    <sheetView workbookViewId="0">
      <selection activeCell="A3" sqref="A3:B22"/>
    </sheetView>
  </sheetViews>
  <sheetFormatPr defaultRowHeight="15" x14ac:dyDescent="0.25"/>
  <cols>
    <col min="1" max="1" width="16.5703125" bestFit="1" customWidth="1"/>
    <col min="2" max="2" width="14.85546875" bestFit="1" customWidth="1"/>
  </cols>
  <sheetData>
    <row r="3" spans="1:2" x14ac:dyDescent="0.25">
      <c r="A3" s="27" t="s">
        <v>221</v>
      </c>
      <c r="B3" t="s">
        <v>250</v>
      </c>
    </row>
    <row r="4" spans="1:2" x14ac:dyDescent="0.25">
      <c r="A4" s="28" t="s">
        <v>236</v>
      </c>
      <c r="B4">
        <v>25.1</v>
      </c>
    </row>
    <row r="5" spans="1:2" x14ac:dyDescent="0.25">
      <c r="A5" s="28" t="s">
        <v>228</v>
      </c>
      <c r="B5">
        <v>2810.9300000000003</v>
      </c>
    </row>
    <row r="6" spans="1:2" x14ac:dyDescent="0.25">
      <c r="A6" s="28" t="s">
        <v>127</v>
      </c>
      <c r="B6">
        <v>5018.95</v>
      </c>
    </row>
    <row r="7" spans="1:2" x14ac:dyDescent="0.25">
      <c r="A7" s="28" t="s">
        <v>238</v>
      </c>
      <c r="B7">
        <v>4148.1799999999994</v>
      </c>
    </row>
    <row r="8" spans="1:2" x14ac:dyDescent="0.25">
      <c r="A8" s="28" t="s">
        <v>230</v>
      </c>
      <c r="B8">
        <v>17861.779999999995</v>
      </c>
    </row>
    <row r="9" spans="1:2" x14ac:dyDescent="0.25">
      <c r="A9" s="28" t="s">
        <v>150</v>
      </c>
      <c r="B9">
        <v>5641.57</v>
      </c>
    </row>
    <row r="10" spans="1:2" x14ac:dyDescent="0.25">
      <c r="A10" s="28" t="s">
        <v>237</v>
      </c>
      <c r="B10">
        <v>906.01</v>
      </c>
    </row>
    <row r="11" spans="1:2" x14ac:dyDescent="0.25">
      <c r="A11" s="28" t="s">
        <v>229</v>
      </c>
      <c r="B11">
        <v>1601.0000000000002</v>
      </c>
    </row>
    <row r="12" spans="1:2" x14ac:dyDescent="0.25">
      <c r="A12" s="28" t="s">
        <v>240</v>
      </c>
      <c r="B12">
        <v>108.24</v>
      </c>
    </row>
    <row r="13" spans="1:2" x14ac:dyDescent="0.25">
      <c r="A13" s="28" t="s">
        <v>246</v>
      </c>
      <c r="B13">
        <v>133.09</v>
      </c>
    </row>
    <row r="14" spans="1:2" x14ac:dyDescent="0.25">
      <c r="A14" s="28" t="s">
        <v>235</v>
      </c>
      <c r="B14">
        <v>1301.02</v>
      </c>
    </row>
    <row r="15" spans="1:2" x14ac:dyDescent="0.25">
      <c r="A15" s="28" t="s">
        <v>241</v>
      </c>
      <c r="B15">
        <v>85</v>
      </c>
    </row>
    <row r="16" spans="1:2" x14ac:dyDescent="0.25">
      <c r="A16" s="28" t="s">
        <v>231</v>
      </c>
      <c r="B16">
        <v>4073.6200000000003</v>
      </c>
    </row>
    <row r="17" spans="1:2" x14ac:dyDescent="0.25">
      <c r="A17" s="28" t="s">
        <v>234</v>
      </c>
      <c r="B17">
        <v>2611.44</v>
      </c>
    </row>
    <row r="18" spans="1:2" x14ac:dyDescent="0.25">
      <c r="A18" s="28" t="s">
        <v>233</v>
      </c>
      <c r="B18">
        <v>3219.6499999999992</v>
      </c>
    </row>
    <row r="19" spans="1:2" x14ac:dyDescent="0.25">
      <c r="A19" s="28" t="s">
        <v>190</v>
      </c>
      <c r="B19">
        <v>130</v>
      </c>
    </row>
    <row r="20" spans="1:2" x14ac:dyDescent="0.25">
      <c r="A20" s="28" t="s">
        <v>232</v>
      </c>
      <c r="B20">
        <v>605.79</v>
      </c>
    </row>
    <row r="21" spans="1:2" x14ac:dyDescent="0.25">
      <c r="A21" s="28" t="s">
        <v>239</v>
      </c>
      <c r="B21">
        <v>2641.5</v>
      </c>
    </row>
    <row r="22" spans="1:2" x14ac:dyDescent="0.25">
      <c r="A22" s="28" t="s">
        <v>222</v>
      </c>
      <c r="B22">
        <v>52922.869999999995</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A20-C842-4BF8-AE0E-43ADEF7D00E6}">
  <dimension ref="A1:F122"/>
  <sheetViews>
    <sheetView zoomScaleNormal="100" workbookViewId="0">
      <selection activeCell="E5" sqref="E5"/>
    </sheetView>
  </sheetViews>
  <sheetFormatPr defaultRowHeight="15" x14ac:dyDescent="0.25"/>
  <cols>
    <col min="1" max="1" width="12.7109375" bestFit="1" customWidth="1"/>
    <col min="2" max="2" width="16.5703125" bestFit="1" customWidth="1"/>
    <col min="3" max="3" width="25.7109375" bestFit="1" customWidth="1"/>
    <col min="4" max="4" width="24.7109375" bestFit="1" customWidth="1"/>
    <col min="5" max="5" width="27.140625" bestFit="1" customWidth="1"/>
    <col min="6" max="6" width="18.5703125" bestFit="1" customWidth="1"/>
  </cols>
  <sheetData>
    <row r="1" spans="1:6" x14ac:dyDescent="0.25">
      <c r="A1" t="s">
        <v>243</v>
      </c>
      <c r="B1" t="s">
        <v>242</v>
      </c>
      <c r="C1" t="s">
        <v>249</v>
      </c>
      <c r="D1" t="s">
        <v>244</v>
      </c>
      <c r="E1" t="s">
        <v>72</v>
      </c>
      <c r="F1" t="s">
        <v>11</v>
      </c>
    </row>
    <row r="2" spans="1:6" x14ac:dyDescent="0.25">
      <c r="A2" s="24">
        <v>46021</v>
      </c>
      <c r="B2">
        <v>25.1</v>
      </c>
      <c r="C2" t="s">
        <v>236</v>
      </c>
      <c r="D2" t="s">
        <v>50</v>
      </c>
      <c r="E2">
        <v>11371533398</v>
      </c>
      <c r="F2" t="s">
        <v>219</v>
      </c>
    </row>
    <row r="3" spans="1:6" x14ac:dyDescent="0.25">
      <c r="A3" s="24">
        <v>46013</v>
      </c>
      <c r="B3">
        <v>68.010000000000005</v>
      </c>
      <c r="C3" t="s">
        <v>228</v>
      </c>
      <c r="D3" t="s">
        <v>50</v>
      </c>
      <c r="E3" t="s">
        <v>88</v>
      </c>
      <c r="F3" t="s">
        <v>219</v>
      </c>
    </row>
    <row r="4" spans="1:6" x14ac:dyDescent="0.25">
      <c r="A4" s="24">
        <v>46014</v>
      </c>
      <c r="B4">
        <v>289.10000000000002</v>
      </c>
      <c r="C4" t="s">
        <v>228</v>
      </c>
      <c r="D4" t="s">
        <v>226</v>
      </c>
      <c r="E4" t="s">
        <v>111</v>
      </c>
      <c r="F4" t="s">
        <v>219</v>
      </c>
    </row>
    <row r="5" spans="1:6" x14ac:dyDescent="0.25">
      <c r="A5" s="24">
        <v>46014</v>
      </c>
      <c r="B5">
        <v>104.5</v>
      </c>
      <c r="C5" t="s">
        <v>228</v>
      </c>
      <c r="D5" t="s">
        <v>50</v>
      </c>
      <c r="E5">
        <v>882535101046046</v>
      </c>
      <c r="F5" t="s">
        <v>219</v>
      </c>
    </row>
    <row r="6" spans="1:6" x14ac:dyDescent="0.25">
      <c r="A6" s="24">
        <v>46015</v>
      </c>
      <c r="B6">
        <v>462.56</v>
      </c>
      <c r="C6" t="s">
        <v>228</v>
      </c>
      <c r="D6" t="s">
        <v>226</v>
      </c>
      <c r="E6" t="s">
        <v>209</v>
      </c>
      <c r="F6" t="s">
        <v>219</v>
      </c>
    </row>
    <row r="7" spans="1:6" x14ac:dyDescent="0.25">
      <c r="A7" s="24">
        <v>46015</v>
      </c>
      <c r="B7">
        <v>136.02000000000001</v>
      </c>
      <c r="C7" t="s">
        <v>228</v>
      </c>
      <c r="D7" t="s">
        <v>50</v>
      </c>
      <c r="E7" t="s">
        <v>211</v>
      </c>
      <c r="F7" t="s">
        <v>219</v>
      </c>
    </row>
    <row r="8" spans="1:6" x14ac:dyDescent="0.25">
      <c r="A8" s="24">
        <v>46015</v>
      </c>
      <c r="B8">
        <v>68.010000000000005</v>
      </c>
      <c r="C8" t="s">
        <v>228</v>
      </c>
      <c r="D8" t="s">
        <v>50</v>
      </c>
      <c r="E8" t="s">
        <v>212</v>
      </c>
      <c r="F8" t="s">
        <v>219</v>
      </c>
    </row>
    <row r="9" spans="1:6" x14ac:dyDescent="0.25">
      <c r="A9" s="24">
        <v>46021</v>
      </c>
      <c r="B9">
        <v>104.08</v>
      </c>
      <c r="C9" t="s">
        <v>228</v>
      </c>
      <c r="D9" t="s">
        <v>226</v>
      </c>
      <c r="E9" t="s">
        <v>145</v>
      </c>
      <c r="F9" t="s">
        <v>219</v>
      </c>
    </row>
    <row r="10" spans="1:6" x14ac:dyDescent="0.25">
      <c r="A10" s="24">
        <v>46021</v>
      </c>
      <c r="B10">
        <v>115.64</v>
      </c>
      <c r="C10" t="s">
        <v>228</v>
      </c>
      <c r="D10" t="s">
        <v>226</v>
      </c>
      <c r="E10" t="s">
        <v>146</v>
      </c>
      <c r="F10" t="s">
        <v>219</v>
      </c>
    </row>
    <row r="11" spans="1:6" x14ac:dyDescent="0.25">
      <c r="A11" s="24">
        <v>46021</v>
      </c>
      <c r="B11">
        <v>202.7</v>
      </c>
      <c r="C11" t="s">
        <v>228</v>
      </c>
      <c r="D11" t="s">
        <v>50</v>
      </c>
      <c r="E11" t="s">
        <v>148</v>
      </c>
      <c r="F11" t="s">
        <v>219</v>
      </c>
    </row>
    <row r="12" spans="1:6" x14ac:dyDescent="0.25">
      <c r="A12" s="24">
        <v>46021</v>
      </c>
      <c r="B12">
        <v>136.02000000000001</v>
      </c>
      <c r="C12" t="s">
        <v>228</v>
      </c>
      <c r="D12" t="s">
        <v>50</v>
      </c>
      <c r="E12" t="s">
        <v>149</v>
      </c>
      <c r="F12" t="s">
        <v>219</v>
      </c>
    </row>
    <row r="13" spans="1:6" x14ac:dyDescent="0.25">
      <c r="A13" s="24">
        <v>46022</v>
      </c>
      <c r="B13" s="35">
        <v>1056.28</v>
      </c>
      <c r="C13" t="s">
        <v>228</v>
      </c>
      <c r="D13" t="s">
        <v>226</v>
      </c>
      <c r="E13">
        <v>825361000030553</v>
      </c>
      <c r="F13" t="s">
        <v>219</v>
      </c>
    </row>
    <row r="14" spans="1:6" x14ac:dyDescent="0.25">
      <c r="A14" s="24">
        <v>46022</v>
      </c>
      <c r="B14" s="35">
        <v>68.010000000000005</v>
      </c>
      <c r="C14" t="s">
        <v>228</v>
      </c>
      <c r="D14" t="s">
        <v>50</v>
      </c>
      <c r="E14">
        <v>882535901079835</v>
      </c>
      <c r="F14" t="s">
        <v>219</v>
      </c>
    </row>
    <row r="15" spans="1:6" x14ac:dyDescent="0.25">
      <c r="A15" s="24">
        <v>46015</v>
      </c>
      <c r="B15">
        <v>288.19</v>
      </c>
      <c r="C15" t="s">
        <v>127</v>
      </c>
      <c r="D15" t="s">
        <v>50</v>
      </c>
      <c r="E15" t="s">
        <v>210</v>
      </c>
      <c r="F15" t="s">
        <v>220</v>
      </c>
    </row>
    <row r="16" spans="1:6" x14ac:dyDescent="0.25">
      <c r="A16" s="24">
        <v>46022</v>
      </c>
      <c r="B16" s="35">
        <v>4730.76</v>
      </c>
      <c r="C16" t="s">
        <v>127</v>
      </c>
      <c r="D16" t="s">
        <v>50</v>
      </c>
      <c r="E16">
        <v>825361000032120</v>
      </c>
      <c r="F16" t="s">
        <v>220</v>
      </c>
    </row>
    <row r="17" spans="1:6" x14ac:dyDescent="0.25">
      <c r="A17" s="24">
        <v>46010</v>
      </c>
      <c r="B17">
        <v>251.91</v>
      </c>
      <c r="C17" t="s">
        <v>238</v>
      </c>
      <c r="D17" t="s">
        <v>225</v>
      </c>
      <c r="E17" t="s">
        <v>77</v>
      </c>
      <c r="F17" t="s">
        <v>219</v>
      </c>
    </row>
    <row r="18" spans="1:6" x14ac:dyDescent="0.25">
      <c r="A18" s="24">
        <v>46020</v>
      </c>
      <c r="B18">
        <v>250.27</v>
      </c>
      <c r="C18" t="s">
        <v>238</v>
      </c>
      <c r="D18" t="s">
        <v>50</v>
      </c>
      <c r="E18" t="s">
        <v>173</v>
      </c>
      <c r="F18" t="s">
        <v>219</v>
      </c>
    </row>
    <row r="19" spans="1:6" x14ac:dyDescent="0.25">
      <c r="A19" s="24">
        <v>46020</v>
      </c>
      <c r="B19">
        <v>647.29999999999995</v>
      </c>
      <c r="C19" t="s">
        <v>238</v>
      </c>
      <c r="D19" t="s">
        <v>225</v>
      </c>
      <c r="E19" t="s">
        <v>175</v>
      </c>
      <c r="F19" t="s">
        <v>219</v>
      </c>
    </row>
    <row r="20" spans="1:6" x14ac:dyDescent="0.25">
      <c r="A20" s="24">
        <v>46020</v>
      </c>
      <c r="B20">
        <v>48.82</v>
      </c>
      <c r="C20" t="s">
        <v>238</v>
      </c>
      <c r="D20" t="s">
        <v>50</v>
      </c>
      <c r="E20" t="s">
        <v>177</v>
      </c>
      <c r="F20" t="s">
        <v>219</v>
      </c>
    </row>
    <row r="21" spans="1:6" x14ac:dyDescent="0.25">
      <c r="A21" s="24">
        <v>46020</v>
      </c>
      <c r="B21">
        <v>1303.67</v>
      </c>
      <c r="C21" t="s">
        <v>238</v>
      </c>
      <c r="D21" t="s">
        <v>35</v>
      </c>
      <c r="E21" t="s">
        <v>178</v>
      </c>
      <c r="F21" t="s">
        <v>219</v>
      </c>
    </row>
    <row r="22" spans="1:6" x14ac:dyDescent="0.25">
      <c r="A22" s="24">
        <v>46020</v>
      </c>
      <c r="B22">
        <v>57.49</v>
      </c>
      <c r="C22" t="s">
        <v>238</v>
      </c>
      <c r="D22" t="s">
        <v>225</v>
      </c>
      <c r="E22" t="s">
        <v>179</v>
      </c>
      <c r="F22" t="s">
        <v>219</v>
      </c>
    </row>
    <row r="23" spans="1:6" x14ac:dyDescent="0.25">
      <c r="A23" s="24">
        <v>46020</v>
      </c>
      <c r="B23">
        <v>551.64</v>
      </c>
      <c r="C23" t="s">
        <v>238</v>
      </c>
      <c r="D23" t="s">
        <v>35</v>
      </c>
      <c r="E23" t="s">
        <v>180</v>
      </c>
      <c r="F23" t="s">
        <v>219</v>
      </c>
    </row>
    <row r="24" spans="1:6" x14ac:dyDescent="0.25">
      <c r="A24" s="24">
        <v>46020</v>
      </c>
      <c r="B24">
        <v>327.93</v>
      </c>
      <c r="C24" t="s">
        <v>238</v>
      </c>
      <c r="D24" t="s">
        <v>50</v>
      </c>
      <c r="E24" t="s">
        <v>181</v>
      </c>
      <c r="F24" t="s">
        <v>219</v>
      </c>
    </row>
    <row r="25" spans="1:6" x14ac:dyDescent="0.25">
      <c r="A25" s="24">
        <v>46020</v>
      </c>
      <c r="B25">
        <v>341.39</v>
      </c>
      <c r="C25" t="s">
        <v>238</v>
      </c>
      <c r="D25" t="s">
        <v>225</v>
      </c>
      <c r="E25" t="s">
        <v>182</v>
      </c>
      <c r="F25" t="s">
        <v>219</v>
      </c>
    </row>
    <row r="26" spans="1:6" x14ac:dyDescent="0.25">
      <c r="A26" s="24">
        <v>46020</v>
      </c>
      <c r="B26">
        <v>367.76</v>
      </c>
      <c r="C26" t="s">
        <v>238</v>
      </c>
      <c r="D26" t="s">
        <v>35</v>
      </c>
      <c r="E26" t="s">
        <v>183</v>
      </c>
      <c r="F26" t="s">
        <v>219</v>
      </c>
    </row>
    <row r="27" spans="1:6" x14ac:dyDescent="0.25">
      <c r="A27" s="24">
        <v>46010</v>
      </c>
      <c r="B27">
        <v>175.55</v>
      </c>
      <c r="C27" t="s">
        <v>230</v>
      </c>
      <c r="D27" t="s">
        <v>50</v>
      </c>
      <c r="E27" t="s">
        <v>75</v>
      </c>
      <c r="F27" t="s">
        <v>219</v>
      </c>
    </row>
    <row r="28" spans="1:6" x14ac:dyDescent="0.25">
      <c r="A28" s="24">
        <v>46010</v>
      </c>
      <c r="B28">
        <v>532.35</v>
      </c>
      <c r="C28" t="s">
        <v>230</v>
      </c>
      <c r="D28" t="s">
        <v>225</v>
      </c>
      <c r="E28" t="s">
        <v>76</v>
      </c>
      <c r="F28" t="s">
        <v>219</v>
      </c>
    </row>
    <row r="29" spans="1:6" x14ac:dyDescent="0.25">
      <c r="A29" s="24">
        <v>46013</v>
      </c>
      <c r="B29">
        <v>57.87</v>
      </c>
      <c r="C29" t="s">
        <v>230</v>
      </c>
      <c r="D29" t="s">
        <v>50</v>
      </c>
      <c r="E29" t="s">
        <v>89</v>
      </c>
      <c r="F29" t="s">
        <v>219</v>
      </c>
    </row>
    <row r="30" spans="1:6" x14ac:dyDescent="0.25">
      <c r="A30" s="24">
        <v>46013</v>
      </c>
      <c r="B30">
        <v>94.22</v>
      </c>
      <c r="C30" t="s">
        <v>230</v>
      </c>
      <c r="D30" t="s">
        <v>50</v>
      </c>
      <c r="E30" t="s">
        <v>91</v>
      </c>
      <c r="F30" t="s">
        <v>219</v>
      </c>
    </row>
    <row r="31" spans="1:6" x14ac:dyDescent="0.25">
      <c r="A31" s="24">
        <v>46013</v>
      </c>
      <c r="B31">
        <v>423.19</v>
      </c>
      <c r="C31" t="s">
        <v>230</v>
      </c>
      <c r="D31" t="s">
        <v>35</v>
      </c>
      <c r="E31" t="s">
        <v>93</v>
      </c>
      <c r="F31" t="s">
        <v>219</v>
      </c>
    </row>
    <row r="32" spans="1:6" x14ac:dyDescent="0.25">
      <c r="A32" s="24">
        <v>46013</v>
      </c>
      <c r="B32">
        <v>77.77</v>
      </c>
      <c r="C32" t="s">
        <v>230</v>
      </c>
      <c r="D32" t="s">
        <v>50</v>
      </c>
      <c r="E32" t="s">
        <v>94</v>
      </c>
      <c r="F32" t="s">
        <v>219</v>
      </c>
    </row>
    <row r="33" spans="1:6" x14ac:dyDescent="0.25">
      <c r="A33" s="24">
        <v>46014</v>
      </c>
      <c r="B33">
        <v>23.85</v>
      </c>
      <c r="C33" t="s">
        <v>230</v>
      </c>
      <c r="D33" t="s">
        <v>225</v>
      </c>
      <c r="E33" t="s">
        <v>114</v>
      </c>
      <c r="F33" t="s">
        <v>219</v>
      </c>
    </row>
    <row r="34" spans="1:6" x14ac:dyDescent="0.25">
      <c r="A34" s="24">
        <v>46014</v>
      </c>
      <c r="B34">
        <v>172.69</v>
      </c>
      <c r="C34" t="s">
        <v>230</v>
      </c>
      <c r="D34" t="s">
        <v>50</v>
      </c>
      <c r="E34" t="s">
        <v>115</v>
      </c>
      <c r="F34" t="s">
        <v>219</v>
      </c>
    </row>
    <row r="35" spans="1:6" x14ac:dyDescent="0.25">
      <c r="A35" s="24">
        <v>46014</v>
      </c>
      <c r="B35">
        <v>12.55</v>
      </c>
      <c r="C35" t="s">
        <v>230</v>
      </c>
      <c r="D35" t="s">
        <v>50</v>
      </c>
      <c r="E35" t="s">
        <v>116</v>
      </c>
      <c r="F35" t="s">
        <v>219</v>
      </c>
    </row>
    <row r="36" spans="1:6" x14ac:dyDescent="0.25">
      <c r="A36" s="24">
        <v>46015</v>
      </c>
      <c r="B36">
        <v>7869.11</v>
      </c>
      <c r="C36" t="s">
        <v>230</v>
      </c>
      <c r="D36" t="s">
        <v>225</v>
      </c>
      <c r="E36" t="s">
        <v>214</v>
      </c>
      <c r="F36" t="s">
        <v>219</v>
      </c>
    </row>
    <row r="37" spans="1:6" x14ac:dyDescent="0.25">
      <c r="A37" s="24">
        <v>46015</v>
      </c>
      <c r="B37">
        <v>248.74</v>
      </c>
      <c r="C37" t="s">
        <v>230</v>
      </c>
      <c r="D37" t="s">
        <v>35</v>
      </c>
      <c r="E37" t="s">
        <v>215</v>
      </c>
      <c r="F37" t="s">
        <v>219</v>
      </c>
    </row>
    <row r="38" spans="1:6" x14ac:dyDescent="0.25">
      <c r="A38" s="24">
        <v>46017</v>
      </c>
      <c r="B38">
        <v>57.87</v>
      </c>
      <c r="C38" t="s">
        <v>230</v>
      </c>
      <c r="D38" t="s">
        <v>50</v>
      </c>
      <c r="E38" t="s">
        <v>199</v>
      </c>
      <c r="F38" t="s">
        <v>219</v>
      </c>
    </row>
    <row r="39" spans="1:6" x14ac:dyDescent="0.25">
      <c r="A39" s="24">
        <v>46017</v>
      </c>
      <c r="B39">
        <v>4994.7299999999996</v>
      </c>
      <c r="C39" t="s">
        <v>230</v>
      </c>
      <c r="D39" t="s">
        <v>225</v>
      </c>
      <c r="E39" t="s">
        <v>200</v>
      </c>
      <c r="F39" t="s">
        <v>219</v>
      </c>
    </row>
    <row r="40" spans="1:6" x14ac:dyDescent="0.25">
      <c r="A40" s="24">
        <v>46017</v>
      </c>
      <c r="B40">
        <v>21.02</v>
      </c>
      <c r="C40" t="s">
        <v>230</v>
      </c>
      <c r="D40" t="s">
        <v>50</v>
      </c>
      <c r="E40" t="s">
        <v>201</v>
      </c>
      <c r="F40" t="s">
        <v>219</v>
      </c>
    </row>
    <row r="41" spans="1:6" x14ac:dyDescent="0.25">
      <c r="A41" s="24">
        <v>46021</v>
      </c>
      <c r="B41">
        <v>583.5</v>
      </c>
      <c r="C41" t="s">
        <v>230</v>
      </c>
      <c r="D41" t="s">
        <v>225</v>
      </c>
      <c r="E41" t="s">
        <v>152</v>
      </c>
      <c r="F41" t="s">
        <v>219</v>
      </c>
    </row>
    <row r="42" spans="1:6" x14ac:dyDescent="0.25">
      <c r="A42" s="24">
        <v>46021</v>
      </c>
      <c r="B42">
        <v>974.29</v>
      </c>
      <c r="C42" t="s">
        <v>230</v>
      </c>
      <c r="D42" t="s">
        <v>225</v>
      </c>
      <c r="E42" t="s">
        <v>155</v>
      </c>
      <c r="F42" t="s">
        <v>219</v>
      </c>
    </row>
    <row r="43" spans="1:6" x14ac:dyDescent="0.25">
      <c r="A43" s="24">
        <v>46021</v>
      </c>
      <c r="B43">
        <v>183.88</v>
      </c>
      <c r="C43" t="s">
        <v>230</v>
      </c>
      <c r="D43" t="s">
        <v>35</v>
      </c>
      <c r="E43" t="s">
        <v>156</v>
      </c>
      <c r="F43" t="s">
        <v>219</v>
      </c>
    </row>
    <row r="44" spans="1:6" x14ac:dyDescent="0.25">
      <c r="A44" s="24">
        <v>46021</v>
      </c>
      <c r="B44">
        <v>12.55</v>
      </c>
      <c r="C44" t="s">
        <v>230</v>
      </c>
      <c r="D44" t="s">
        <v>50</v>
      </c>
      <c r="E44" t="s">
        <v>157</v>
      </c>
      <c r="F44" t="s">
        <v>219</v>
      </c>
    </row>
    <row r="45" spans="1:6" x14ac:dyDescent="0.25">
      <c r="A45" s="24">
        <v>46022</v>
      </c>
      <c r="B45" s="35">
        <v>681.73</v>
      </c>
      <c r="C45" t="s">
        <v>230</v>
      </c>
      <c r="D45" t="s">
        <v>50</v>
      </c>
      <c r="E45" t="s">
        <v>130</v>
      </c>
      <c r="F45" t="s">
        <v>219</v>
      </c>
    </row>
    <row r="46" spans="1:6" x14ac:dyDescent="0.25">
      <c r="A46" s="24">
        <v>46022</v>
      </c>
      <c r="B46" s="35">
        <v>79.2</v>
      </c>
      <c r="C46" t="s">
        <v>230</v>
      </c>
      <c r="D46" t="s">
        <v>225</v>
      </c>
      <c r="E46" t="s">
        <v>131</v>
      </c>
      <c r="F46" t="s">
        <v>219</v>
      </c>
    </row>
    <row r="47" spans="1:6" x14ac:dyDescent="0.25">
      <c r="A47" s="24">
        <v>46022</v>
      </c>
      <c r="B47" s="35">
        <v>46.24</v>
      </c>
      <c r="C47" t="s">
        <v>230</v>
      </c>
      <c r="D47" t="s">
        <v>225</v>
      </c>
      <c r="E47" t="s">
        <v>132</v>
      </c>
      <c r="F47" t="s">
        <v>219</v>
      </c>
    </row>
    <row r="48" spans="1:6" x14ac:dyDescent="0.25">
      <c r="A48" s="24">
        <v>46022</v>
      </c>
      <c r="B48" s="35">
        <v>391.78</v>
      </c>
      <c r="C48" t="s">
        <v>230</v>
      </c>
      <c r="D48" t="s">
        <v>50</v>
      </c>
      <c r="E48" t="s">
        <v>133</v>
      </c>
      <c r="F48" t="s">
        <v>219</v>
      </c>
    </row>
    <row r="49" spans="1:6" x14ac:dyDescent="0.25">
      <c r="A49" s="24">
        <v>46022</v>
      </c>
      <c r="B49" s="35">
        <v>147.1</v>
      </c>
      <c r="C49" t="s">
        <v>230</v>
      </c>
      <c r="D49" t="s">
        <v>35</v>
      </c>
      <c r="E49">
        <v>97004542</v>
      </c>
      <c r="F49" t="s">
        <v>219</v>
      </c>
    </row>
    <row r="50" spans="1:6" x14ac:dyDescent="0.25">
      <c r="A50" s="24">
        <v>46015</v>
      </c>
      <c r="B50">
        <v>505.03</v>
      </c>
      <c r="C50" t="s">
        <v>150</v>
      </c>
      <c r="D50" t="s">
        <v>50</v>
      </c>
      <c r="E50" t="s">
        <v>213</v>
      </c>
      <c r="F50" t="s">
        <v>220</v>
      </c>
    </row>
    <row r="51" spans="1:6" x14ac:dyDescent="0.25">
      <c r="A51" s="24">
        <v>46021</v>
      </c>
      <c r="B51">
        <v>298.75</v>
      </c>
      <c r="C51" t="s">
        <v>150</v>
      </c>
      <c r="D51" t="s">
        <v>50</v>
      </c>
      <c r="E51" t="s">
        <v>151</v>
      </c>
      <c r="F51" t="s">
        <v>220</v>
      </c>
    </row>
    <row r="52" spans="1:6" x14ac:dyDescent="0.25">
      <c r="A52" s="24">
        <v>46021</v>
      </c>
      <c r="B52">
        <v>2606.2199999999998</v>
      </c>
      <c r="C52" t="s">
        <v>150</v>
      </c>
      <c r="D52" t="s">
        <v>50</v>
      </c>
      <c r="E52" t="s">
        <v>153</v>
      </c>
      <c r="F52" t="s">
        <v>220</v>
      </c>
    </row>
    <row r="53" spans="1:6" x14ac:dyDescent="0.25">
      <c r="A53" s="24">
        <v>46021</v>
      </c>
      <c r="B53">
        <v>2231.5700000000002</v>
      </c>
      <c r="C53" t="s">
        <v>150</v>
      </c>
      <c r="D53" t="s">
        <v>50</v>
      </c>
      <c r="E53" t="s">
        <v>154</v>
      </c>
      <c r="F53" t="s">
        <v>220</v>
      </c>
    </row>
    <row r="54" spans="1:6" x14ac:dyDescent="0.25">
      <c r="A54" s="24">
        <v>46013</v>
      </c>
      <c r="B54">
        <v>79.2</v>
      </c>
      <c r="C54" t="s">
        <v>237</v>
      </c>
      <c r="D54" t="s">
        <v>226</v>
      </c>
      <c r="E54" t="s">
        <v>104</v>
      </c>
      <c r="F54" t="s">
        <v>219</v>
      </c>
    </row>
    <row r="55" spans="1:6" x14ac:dyDescent="0.25">
      <c r="A55" s="24">
        <v>46013</v>
      </c>
      <c r="B55">
        <v>16.22</v>
      </c>
      <c r="C55" t="s">
        <v>237</v>
      </c>
      <c r="D55" t="s">
        <v>50</v>
      </c>
      <c r="E55" t="s">
        <v>106</v>
      </c>
      <c r="F55" t="s">
        <v>220</v>
      </c>
    </row>
    <row r="56" spans="1:6" x14ac:dyDescent="0.25">
      <c r="A56" s="24">
        <v>46013</v>
      </c>
      <c r="B56">
        <v>95.76</v>
      </c>
      <c r="C56" t="s">
        <v>237</v>
      </c>
      <c r="D56" t="s">
        <v>225</v>
      </c>
      <c r="E56" t="s">
        <v>108</v>
      </c>
      <c r="F56" t="s">
        <v>220</v>
      </c>
    </row>
    <row r="57" spans="1:6" x14ac:dyDescent="0.25">
      <c r="A57" s="24">
        <v>46014</v>
      </c>
      <c r="B57">
        <v>230.31</v>
      </c>
      <c r="C57" t="s">
        <v>237</v>
      </c>
      <c r="D57" t="s">
        <v>35</v>
      </c>
      <c r="E57" t="s">
        <v>126</v>
      </c>
      <c r="F57" t="s">
        <v>220</v>
      </c>
    </row>
    <row r="58" spans="1:6" x14ac:dyDescent="0.25">
      <c r="A58" s="24">
        <v>46020</v>
      </c>
      <c r="B58">
        <v>284.08</v>
      </c>
      <c r="C58" t="s">
        <v>237</v>
      </c>
      <c r="D58" t="s">
        <v>226</v>
      </c>
      <c r="E58" t="s">
        <v>197</v>
      </c>
      <c r="F58" t="s">
        <v>219</v>
      </c>
    </row>
    <row r="59" spans="1:6" x14ac:dyDescent="0.25">
      <c r="A59" s="24">
        <v>46020</v>
      </c>
      <c r="B59">
        <v>98.7</v>
      </c>
      <c r="C59" t="s">
        <v>237</v>
      </c>
      <c r="D59" t="s">
        <v>225</v>
      </c>
      <c r="E59" t="s">
        <v>198</v>
      </c>
      <c r="F59" t="s">
        <v>220</v>
      </c>
    </row>
    <row r="60" spans="1:6" x14ac:dyDescent="0.25">
      <c r="A60" s="24">
        <v>46021</v>
      </c>
      <c r="B60">
        <v>16.22</v>
      </c>
      <c r="C60" t="s">
        <v>237</v>
      </c>
      <c r="D60" t="s">
        <v>50</v>
      </c>
      <c r="E60" t="s">
        <v>168</v>
      </c>
      <c r="F60" t="s">
        <v>220</v>
      </c>
    </row>
    <row r="61" spans="1:6" x14ac:dyDescent="0.25">
      <c r="A61" s="24">
        <v>46021</v>
      </c>
      <c r="B61">
        <v>85.52</v>
      </c>
      <c r="C61" t="s">
        <v>237</v>
      </c>
      <c r="D61" t="s">
        <v>225</v>
      </c>
      <c r="E61" t="s">
        <v>169</v>
      </c>
      <c r="F61" t="s">
        <v>220</v>
      </c>
    </row>
    <row r="62" spans="1:6" x14ac:dyDescent="0.25">
      <c r="A62" s="24">
        <v>46010</v>
      </c>
      <c r="B62">
        <v>233.66</v>
      </c>
      <c r="C62" t="s">
        <v>229</v>
      </c>
      <c r="D62" t="s">
        <v>226</v>
      </c>
      <c r="E62" t="s">
        <v>74</v>
      </c>
      <c r="F62" t="s">
        <v>219</v>
      </c>
    </row>
    <row r="63" spans="1:6" x14ac:dyDescent="0.25">
      <c r="A63" s="24">
        <v>46020</v>
      </c>
      <c r="B63">
        <v>338.95</v>
      </c>
      <c r="C63" t="s">
        <v>229</v>
      </c>
      <c r="D63" t="s">
        <v>226</v>
      </c>
      <c r="E63" t="s">
        <v>171</v>
      </c>
      <c r="F63" t="s">
        <v>219</v>
      </c>
    </row>
    <row r="64" spans="1:6" x14ac:dyDescent="0.25">
      <c r="A64" s="24">
        <v>46022</v>
      </c>
      <c r="B64" s="35">
        <v>689.44</v>
      </c>
      <c r="C64" t="s">
        <v>229</v>
      </c>
      <c r="D64" t="s">
        <v>226</v>
      </c>
      <c r="E64">
        <v>251227090065121</v>
      </c>
      <c r="F64" t="s">
        <v>219</v>
      </c>
    </row>
    <row r="65" spans="1:6" x14ac:dyDescent="0.25">
      <c r="A65" s="24">
        <v>46022</v>
      </c>
      <c r="B65" s="35">
        <v>338.95</v>
      </c>
      <c r="C65" t="s">
        <v>229</v>
      </c>
      <c r="D65" t="s">
        <v>226</v>
      </c>
      <c r="E65" t="s">
        <v>129</v>
      </c>
      <c r="F65" t="s">
        <v>219</v>
      </c>
    </row>
    <row r="66" spans="1:6" x14ac:dyDescent="0.25">
      <c r="A66" s="24">
        <v>46017</v>
      </c>
      <c r="B66">
        <v>108.24</v>
      </c>
      <c r="C66" t="s">
        <v>240</v>
      </c>
      <c r="D66" t="s">
        <v>50</v>
      </c>
      <c r="E66" t="s">
        <v>203</v>
      </c>
      <c r="F66" t="s">
        <v>219</v>
      </c>
    </row>
    <row r="67" spans="1:6" x14ac:dyDescent="0.25">
      <c r="A67" s="24">
        <v>46014</v>
      </c>
      <c r="B67">
        <v>133.09</v>
      </c>
      <c r="C67" t="s">
        <v>246</v>
      </c>
      <c r="D67" t="s">
        <v>50</v>
      </c>
      <c r="E67" t="s">
        <v>110</v>
      </c>
      <c r="F67" t="s">
        <v>220</v>
      </c>
    </row>
    <row r="68" spans="1:6" x14ac:dyDescent="0.25">
      <c r="A68" s="24">
        <v>46010</v>
      </c>
      <c r="B68">
        <v>64.709999999999994</v>
      </c>
      <c r="C68" t="s">
        <v>235</v>
      </c>
      <c r="D68" t="s">
        <v>50</v>
      </c>
      <c r="E68" t="s">
        <v>73</v>
      </c>
      <c r="F68" t="s">
        <v>219</v>
      </c>
    </row>
    <row r="69" spans="1:6" x14ac:dyDescent="0.25">
      <c r="A69" s="24">
        <v>46020</v>
      </c>
      <c r="B69">
        <v>236.75</v>
      </c>
      <c r="C69" t="s">
        <v>235</v>
      </c>
      <c r="D69" t="s">
        <v>50</v>
      </c>
      <c r="E69" t="s">
        <v>170</v>
      </c>
      <c r="F69" t="s">
        <v>219</v>
      </c>
    </row>
    <row r="70" spans="1:6" x14ac:dyDescent="0.25">
      <c r="A70" s="24">
        <v>46021</v>
      </c>
      <c r="B70">
        <v>649.77</v>
      </c>
      <c r="C70" t="s">
        <v>235</v>
      </c>
      <c r="D70" t="s">
        <v>50</v>
      </c>
      <c r="E70" t="s">
        <v>140</v>
      </c>
      <c r="F70" t="s">
        <v>219</v>
      </c>
    </row>
    <row r="71" spans="1:6" x14ac:dyDescent="0.25">
      <c r="A71" s="24">
        <v>46021</v>
      </c>
      <c r="B71">
        <v>78.03</v>
      </c>
      <c r="C71" t="s">
        <v>235</v>
      </c>
      <c r="D71" t="s">
        <v>50</v>
      </c>
      <c r="E71" t="s">
        <v>141</v>
      </c>
      <c r="F71" t="s">
        <v>219</v>
      </c>
    </row>
    <row r="72" spans="1:6" x14ac:dyDescent="0.25">
      <c r="A72" s="24">
        <v>46021</v>
      </c>
      <c r="B72">
        <v>67.94</v>
      </c>
      <c r="C72" t="s">
        <v>235</v>
      </c>
      <c r="D72" t="s">
        <v>50</v>
      </c>
      <c r="E72" t="s">
        <v>142</v>
      </c>
      <c r="F72" t="s">
        <v>219</v>
      </c>
    </row>
    <row r="73" spans="1:6" x14ac:dyDescent="0.25">
      <c r="A73" s="24">
        <v>46021</v>
      </c>
      <c r="B73">
        <v>67.94</v>
      </c>
      <c r="C73" t="s">
        <v>235</v>
      </c>
      <c r="D73" t="s">
        <v>50</v>
      </c>
      <c r="E73" t="s">
        <v>143</v>
      </c>
      <c r="F73" t="s">
        <v>219</v>
      </c>
    </row>
    <row r="74" spans="1:6" x14ac:dyDescent="0.25">
      <c r="A74" s="24">
        <v>46021</v>
      </c>
      <c r="B74">
        <v>135.88</v>
      </c>
      <c r="C74" t="s">
        <v>235</v>
      </c>
      <c r="D74" t="s">
        <v>50</v>
      </c>
      <c r="E74" t="s">
        <v>144</v>
      </c>
      <c r="F74" t="s">
        <v>219</v>
      </c>
    </row>
    <row r="75" spans="1:6" x14ac:dyDescent="0.25">
      <c r="A75" s="24">
        <v>46015</v>
      </c>
      <c r="B75">
        <v>85</v>
      </c>
      <c r="C75" t="s">
        <v>241</v>
      </c>
      <c r="D75" t="s">
        <v>50</v>
      </c>
      <c r="E75" t="s">
        <v>208</v>
      </c>
      <c r="F75" t="s">
        <v>220</v>
      </c>
    </row>
    <row r="76" spans="1:6" x14ac:dyDescent="0.25">
      <c r="A76" s="24">
        <v>46010</v>
      </c>
      <c r="B76">
        <v>49.18</v>
      </c>
      <c r="C76" t="s">
        <v>231</v>
      </c>
      <c r="D76" t="s">
        <v>50</v>
      </c>
      <c r="E76" t="s">
        <v>78</v>
      </c>
      <c r="F76" t="s">
        <v>219</v>
      </c>
    </row>
    <row r="77" spans="1:6" x14ac:dyDescent="0.25">
      <c r="A77" s="24">
        <v>46013</v>
      </c>
      <c r="B77">
        <v>245.9</v>
      </c>
      <c r="C77" t="s">
        <v>231</v>
      </c>
      <c r="D77" t="s">
        <v>50</v>
      </c>
      <c r="E77" t="s">
        <v>95</v>
      </c>
      <c r="F77" t="s">
        <v>219</v>
      </c>
    </row>
    <row r="78" spans="1:6" x14ac:dyDescent="0.25">
      <c r="A78" s="24">
        <v>46013</v>
      </c>
      <c r="B78">
        <v>66.36</v>
      </c>
      <c r="C78" t="s">
        <v>231</v>
      </c>
      <c r="D78" t="s">
        <v>225</v>
      </c>
      <c r="E78" t="s">
        <v>98</v>
      </c>
      <c r="F78" t="s">
        <v>219</v>
      </c>
    </row>
    <row r="79" spans="1:6" x14ac:dyDescent="0.25">
      <c r="A79" s="24">
        <v>46014</v>
      </c>
      <c r="B79">
        <v>124.8</v>
      </c>
      <c r="C79" t="s">
        <v>231</v>
      </c>
      <c r="D79" t="s">
        <v>50</v>
      </c>
      <c r="E79" t="s">
        <v>117</v>
      </c>
      <c r="F79" t="s">
        <v>219</v>
      </c>
    </row>
    <row r="80" spans="1:6" x14ac:dyDescent="0.25">
      <c r="A80" s="24">
        <v>46014</v>
      </c>
      <c r="B80">
        <v>682.87</v>
      </c>
      <c r="C80" t="s">
        <v>231</v>
      </c>
      <c r="D80" t="s">
        <v>225</v>
      </c>
      <c r="E80" t="s">
        <v>118</v>
      </c>
      <c r="F80" t="s">
        <v>219</v>
      </c>
    </row>
    <row r="81" spans="1:6" x14ac:dyDescent="0.25">
      <c r="A81" s="24">
        <v>46020</v>
      </c>
      <c r="B81">
        <v>658.14</v>
      </c>
      <c r="C81" t="s">
        <v>231</v>
      </c>
      <c r="D81" t="s">
        <v>50</v>
      </c>
      <c r="E81" t="s">
        <v>184</v>
      </c>
      <c r="F81" t="s">
        <v>219</v>
      </c>
    </row>
    <row r="82" spans="1:6" x14ac:dyDescent="0.25">
      <c r="A82" s="24">
        <v>46020</v>
      </c>
      <c r="B82">
        <v>1281.1500000000001</v>
      </c>
      <c r="C82" t="s">
        <v>231</v>
      </c>
      <c r="D82" t="s">
        <v>225</v>
      </c>
      <c r="E82" t="s">
        <v>185</v>
      </c>
      <c r="F82" t="s">
        <v>219</v>
      </c>
    </row>
    <row r="83" spans="1:6" x14ac:dyDescent="0.25">
      <c r="A83" s="24">
        <v>46021</v>
      </c>
      <c r="B83">
        <v>124.8</v>
      </c>
      <c r="C83" t="s">
        <v>231</v>
      </c>
      <c r="D83" t="s">
        <v>50</v>
      </c>
      <c r="E83" t="s">
        <v>158</v>
      </c>
      <c r="F83" t="s">
        <v>219</v>
      </c>
    </row>
    <row r="84" spans="1:6" x14ac:dyDescent="0.25">
      <c r="A84" s="24">
        <v>46022</v>
      </c>
      <c r="B84" s="35">
        <v>49.18</v>
      </c>
      <c r="C84" t="s">
        <v>231</v>
      </c>
      <c r="D84" t="s">
        <v>50</v>
      </c>
      <c r="E84" t="s">
        <v>134</v>
      </c>
      <c r="F84" t="s">
        <v>219</v>
      </c>
    </row>
    <row r="85" spans="1:6" x14ac:dyDescent="0.25">
      <c r="A85" s="24">
        <v>46022</v>
      </c>
      <c r="B85" s="35">
        <v>791.24</v>
      </c>
      <c r="C85" t="s">
        <v>231</v>
      </c>
      <c r="D85" t="s">
        <v>225</v>
      </c>
      <c r="E85">
        <v>899410896</v>
      </c>
      <c r="F85" t="s">
        <v>219</v>
      </c>
    </row>
    <row r="86" spans="1:6" x14ac:dyDescent="0.25">
      <c r="A86" s="24">
        <v>46015</v>
      </c>
      <c r="B86">
        <v>2012.96</v>
      </c>
      <c r="C86" t="s">
        <v>234</v>
      </c>
      <c r="D86" t="s">
        <v>226</v>
      </c>
      <c r="E86" t="s">
        <v>217</v>
      </c>
      <c r="F86" t="s">
        <v>219</v>
      </c>
    </row>
    <row r="87" spans="1:6" x14ac:dyDescent="0.25">
      <c r="A87" s="24">
        <v>46015</v>
      </c>
      <c r="B87">
        <v>99.16</v>
      </c>
      <c r="C87" t="s">
        <v>234</v>
      </c>
      <c r="D87" t="s">
        <v>225</v>
      </c>
      <c r="E87" t="s">
        <v>218</v>
      </c>
      <c r="F87" t="s">
        <v>220</v>
      </c>
    </row>
    <row r="88" spans="1:6" x14ac:dyDescent="0.25">
      <c r="A88" s="24">
        <v>46022</v>
      </c>
      <c r="B88">
        <v>16.22</v>
      </c>
      <c r="C88" t="s">
        <v>234</v>
      </c>
      <c r="D88" t="s">
        <v>50</v>
      </c>
      <c r="E88" t="s">
        <v>138</v>
      </c>
      <c r="F88" t="s">
        <v>220</v>
      </c>
    </row>
    <row r="89" spans="1:6" x14ac:dyDescent="0.25">
      <c r="A89" s="24">
        <v>46022</v>
      </c>
      <c r="B89">
        <v>483.1</v>
      </c>
      <c r="C89" t="s">
        <v>234</v>
      </c>
      <c r="D89" t="s">
        <v>225</v>
      </c>
      <c r="E89">
        <v>900130045</v>
      </c>
      <c r="F89" t="s">
        <v>220</v>
      </c>
    </row>
    <row r="90" spans="1:6" x14ac:dyDescent="0.25">
      <c r="A90" s="24">
        <v>46010</v>
      </c>
      <c r="B90">
        <v>147.83000000000001</v>
      </c>
      <c r="C90" t="s">
        <v>233</v>
      </c>
      <c r="D90" t="s">
        <v>226</v>
      </c>
      <c r="E90" t="s">
        <v>81</v>
      </c>
      <c r="F90" t="s">
        <v>219</v>
      </c>
    </row>
    <row r="91" spans="1:6" x14ac:dyDescent="0.25">
      <c r="A91" s="24">
        <v>46010</v>
      </c>
      <c r="B91">
        <v>66.33</v>
      </c>
      <c r="C91" t="s">
        <v>233</v>
      </c>
      <c r="D91" t="s">
        <v>50</v>
      </c>
      <c r="E91" t="s">
        <v>83</v>
      </c>
      <c r="F91" t="s">
        <v>219</v>
      </c>
    </row>
    <row r="92" spans="1:6" x14ac:dyDescent="0.25">
      <c r="A92" s="24">
        <v>46010</v>
      </c>
      <c r="B92">
        <v>35.4</v>
      </c>
      <c r="C92" t="s">
        <v>233</v>
      </c>
      <c r="D92" t="s">
        <v>50</v>
      </c>
      <c r="E92" t="s">
        <v>84</v>
      </c>
      <c r="F92" t="s">
        <v>219</v>
      </c>
    </row>
    <row r="93" spans="1:6" x14ac:dyDescent="0.25">
      <c r="A93" s="24">
        <v>46010</v>
      </c>
      <c r="B93">
        <v>223.71</v>
      </c>
      <c r="C93" t="s">
        <v>233</v>
      </c>
      <c r="D93" t="s">
        <v>35</v>
      </c>
      <c r="E93" t="s">
        <v>79</v>
      </c>
      <c r="F93" t="s">
        <v>220</v>
      </c>
    </row>
    <row r="94" spans="1:6" x14ac:dyDescent="0.25">
      <c r="A94" s="24">
        <v>46010</v>
      </c>
      <c r="B94">
        <v>59.8</v>
      </c>
      <c r="C94" t="s">
        <v>233</v>
      </c>
      <c r="D94" t="s">
        <v>35</v>
      </c>
      <c r="E94" t="s">
        <v>80</v>
      </c>
      <c r="F94" t="s">
        <v>220</v>
      </c>
    </row>
    <row r="95" spans="1:6" x14ac:dyDescent="0.25">
      <c r="A95" s="24">
        <v>46013</v>
      </c>
      <c r="B95">
        <v>116.45</v>
      </c>
      <c r="C95" t="s">
        <v>233</v>
      </c>
      <c r="D95" t="s">
        <v>50</v>
      </c>
      <c r="E95" t="s">
        <v>101</v>
      </c>
      <c r="F95" t="s">
        <v>219</v>
      </c>
    </row>
    <row r="96" spans="1:6" x14ac:dyDescent="0.25">
      <c r="A96" s="24">
        <v>46014</v>
      </c>
      <c r="B96">
        <v>67.680000000000007</v>
      </c>
      <c r="C96" t="s">
        <v>233</v>
      </c>
      <c r="D96" t="s">
        <v>50</v>
      </c>
      <c r="E96" t="s">
        <v>119</v>
      </c>
      <c r="F96" t="s">
        <v>219</v>
      </c>
    </row>
    <row r="97" spans="1:6" x14ac:dyDescent="0.25">
      <c r="A97" s="24">
        <v>46014</v>
      </c>
      <c r="B97">
        <v>186.18</v>
      </c>
      <c r="C97" t="s">
        <v>233</v>
      </c>
      <c r="D97" t="s">
        <v>226</v>
      </c>
      <c r="E97" t="s">
        <v>120</v>
      </c>
      <c r="F97" t="s">
        <v>219</v>
      </c>
    </row>
    <row r="98" spans="1:6" x14ac:dyDescent="0.25">
      <c r="A98" s="24">
        <v>46014</v>
      </c>
      <c r="B98">
        <v>198.99</v>
      </c>
      <c r="C98" t="s">
        <v>233</v>
      </c>
      <c r="D98" t="s">
        <v>50</v>
      </c>
      <c r="E98" t="s">
        <v>122</v>
      </c>
      <c r="F98" t="s">
        <v>219</v>
      </c>
    </row>
    <row r="99" spans="1:6" x14ac:dyDescent="0.25">
      <c r="A99" s="24">
        <v>46015</v>
      </c>
      <c r="B99">
        <v>401.24</v>
      </c>
      <c r="C99" t="s">
        <v>233</v>
      </c>
      <c r="D99" t="s">
        <v>226</v>
      </c>
      <c r="E99" t="s">
        <v>216</v>
      </c>
      <c r="F99" t="s">
        <v>219</v>
      </c>
    </row>
    <row r="100" spans="1:6" x14ac:dyDescent="0.25">
      <c r="A100" s="24">
        <v>46017</v>
      </c>
      <c r="B100">
        <v>241.16</v>
      </c>
      <c r="C100" t="s">
        <v>233</v>
      </c>
      <c r="D100" t="s">
        <v>50</v>
      </c>
      <c r="E100" t="s">
        <v>204</v>
      </c>
      <c r="F100" t="s">
        <v>219</v>
      </c>
    </row>
    <row r="101" spans="1:6" x14ac:dyDescent="0.25">
      <c r="A101" s="24">
        <v>46020</v>
      </c>
      <c r="B101">
        <v>30.75</v>
      </c>
      <c r="C101" t="s">
        <v>233</v>
      </c>
      <c r="D101" t="s">
        <v>50</v>
      </c>
      <c r="E101" t="s">
        <v>186</v>
      </c>
      <c r="F101" t="s">
        <v>219</v>
      </c>
    </row>
    <row r="102" spans="1:6" x14ac:dyDescent="0.25">
      <c r="A102" s="24">
        <v>46020</v>
      </c>
      <c r="B102">
        <v>79.2</v>
      </c>
      <c r="C102" t="s">
        <v>233</v>
      </c>
      <c r="D102" t="s">
        <v>226</v>
      </c>
      <c r="E102" t="s">
        <v>187</v>
      </c>
      <c r="F102" t="s">
        <v>219</v>
      </c>
    </row>
    <row r="103" spans="1:6" x14ac:dyDescent="0.25">
      <c r="A103" s="24">
        <v>46020</v>
      </c>
      <c r="B103">
        <v>198.99</v>
      </c>
      <c r="C103" t="s">
        <v>233</v>
      </c>
      <c r="D103" t="s">
        <v>50</v>
      </c>
      <c r="E103" t="s">
        <v>188</v>
      </c>
      <c r="F103" t="s">
        <v>219</v>
      </c>
    </row>
    <row r="104" spans="1:6" x14ac:dyDescent="0.25">
      <c r="A104" s="24">
        <v>46020</v>
      </c>
      <c r="B104">
        <v>105.59</v>
      </c>
      <c r="C104" t="s">
        <v>233</v>
      </c>
      <c r="D104" t="s">
        <v>226</v>
      </c>
      <c r="E104" t="s">
        <v>189</v>
      </c>
      <c r="F104" t="s">
        <v>219</v>
      </c>
    </row>
    <row r="105" spans="1:6" x14ac:dyDescent="0.25">
      <c r="A105" s="24">
        <v>46020</v>
      </c>
      <c r="B105">
        <v>70.8</v>
      </c>
      <c r="C105" t="s">
        <v>233</v>
      </c>
      <c r="D105" t="s">
        <v>50</v>
      </c>
      <c r="E105" t="s">
        <v>192</v>
      </c>
      <c r="F105" t="s">
        <v>219</v>
      </c>
    </row>
    <row r="106" spans="1:6" x14ac:dyDescent="0.25">
      <c r="A106" s="24">
        <v>46021</v>
      </c>
      <c r="B106">
        <v>534.66</v>
      </c>
      <c r="C106" t="s">
        <v>233</v>
      </c>
      <c r="D106" t="s">
        <v>50</v>
      </c>
      <c r="E106" t="s">
        <v>161</v>
      </c>
      <c r="F106" t="s">
        <v>219</v>
      </c>
    </row>
    <row r="107" spans="1:6" x14ac:dyDescent="0.25">
      <c r="A107" s="24">
        <v>46021</v>
      </c>
      <c r="B107">
        <v>79.2</v>
      </c>
      <c r="C107" t="s">
        <v>233</v>
      </c>
      <c r="D107" t="s">
        <v>226</v>
      </c>
      <c r="E107" t="s">
        <v>162</v>
      </c>
      <c r="F107" t="s">
        <v>219</v>
      </c>
    </row>
    <row r="108" spans="1:6" x14ac:dyDescent="0.25">
      <c r="A108" s="24">
        <v>46021</v>
      </c>
      <c r="B108">
        <v>30.75</v>
      </c>
      <c r="C108" t="s">
        <v>233</v>
      </c>
      <c r="D108" t="s">
        <v>50</v>
      </c>
      <c r="E108" t="s">
        <v>163</v>
      </c>
      <c r="F108" t="s">
        <v>219</v>
      </c>
    </row>
    <row r="109" spans="1:6" x14ac:dyDescent="0.25">
      <c r="A109" s="24">
        <v>46021</v>
      </c>
      <c r="B109">
        <v>13.96</v>
      </c>
      <c r="C109" t="s">
        <v>233</v>
      </c>
      <c r="D109" t="s">
        <v>50</v>
      </c>
      <c r="E109" t="s">
        <v>164</v>
      </c>
      <c r="F109" t="s">
        <v>219</v>
      </c>
    </row>
    <row r="110" spans="1:6" x14ac:dyDescent="0.25">
      <c r="A110" s="24">
        <v>46021</v>
      </c>
      <c r="B110">
        <v>26.4</v>
      </c>
      <c r="C110" t="s">
        <v>233</v>
      </c>
      <c r="D110" t="s">
        <v>227</v>
      </c>
      <c r="E110" t="s">
        <v>166</v>
      </c>
      <c r="F110" t="s">
        <v>220</v>
      </c>
    </row>
    <row r="111" spans="1:6" x14ac:dyDescent="0.25">
      <c r="A111" s="24">
        <v>46021</v>
      </c>
      <c r="B111">
        <v>132.66</v>
      </c>
      <c r="C111" t="s">
        <v>233</v>
      </c>
      <c r="D111" t="s">
        <v>50</v>
      </c>
      <c r="E111" t="s">
        <v>167</v>
      </c>
      <c r="F111" t="s">
        <v>219</v>
      </c>
    </row>
    <row r="112" spans="1:6" x14ac:dyDescent="0.25">
      <c r="A112" s="24">
        <v>46022</v>
      </c>
      <c r="B112" s="35">
        <v>66.33</v>
      </c>
      <c r="C112" t="s">
        <v>233</v>
      </c>
      <c r="D112" t="s">
        <v>50</v>
      </c>
      <c r="E112" t="s">
        <v>136</v>
      </c>
      <c r="F112" t="s">
        <v>219</v>
      </c>
    </row>
    <row r="113" spans="1:6" x14ac:dyDescent="0.25">
      <c r="A113" s="24">
        <v>46022</v>
      </c>
      <c r="B113" s="35">
        <v>105.59</v>
      </c>
      <c r="C113" t="s">
        <v>233</v>
      </c>
      <c r="D113" t="s">
        <v>226</v>
      </c>
      <c r="E113" t="s">
        <v>137</v>
      </c>
      <c r="F113" t="s">
        <v>219</v>
      </c>
    </row>
    <row r="114" spans="1:6" x14ac:dyDescent="0.25">
      <c r="A114" s="24">
        <v>46020</v>
      </c>
      <c r="B114">
        <v>130</v>
      </c>
      <c r="C114" t="s">
        <v>190</v>
      </c>
      <c r="D114" t="s">
        <v>50</v>
      </c>
      <c r="E114" t="s">
        <v>191</v>
      </c>
      <c r="F114" t="s">
        <v>220</v>
      </c>
    </row>
    <row r="115" spans="1:6" x14ac:dyDescent="0.25">
      <c r="A115" s="24">
        <v>46010</v>
      </c>
      <c r="B115">
        <v>84.47</v>
      </c>
      <c r="C115" t="s">
        <v>232</v>
      </c>
      <c r="D115" t="s">
        <v>226</v>
      </c>
      <c r="E115" t="s">
        <v>82</v>
      </c>
      <c r="F115" t="s">
        <v>219</v>
      </c>
    </row>
    <row r="116" spans="1:6" x14ac:dyDescent="0.25">
      <c r="A116" s="24">
        <v>46013</v>
      </c>
      <c r="B116">
        <v>310.14</v>
      </c>
      <c r="C116" t="s">
        <v>232</v>
      </c>
      <c r="D116" t="s">
        <v>35</v>
      </c>
      <c r="E116" t="s">
        <v>100</v>
      </c>
      <c r="F116" t="s">
        <v>220</v>
      </c>
    </row>
    <row r="117" spans="1:6" x14ac:dyDescent="0.25">
      <c r="A117" s="24">
        <v>46014</v>
      </c>
      <c r="B117">
        <v>105.59</v>
      </c>
      <c r="C117" t="s">
        <v>232</v>
      </c>
      <c r="D117" t="s">
        <v>226</v>
      </c>
      <c r="E117" t="s">
        <v>121</v>
      </c>
      <c r="F117" t="s">
        <v>219</v>
      </c>
    </row>
    <row r="118" spans="1:6" x14ac:dyDescent="0.25">
      <c r="A118" s="24">
        <v>46022</v>
      </c>
      <c r="B118" s="35">
        <v>105.59</v>
      </c>
      <c r="C118" t="s">
        <v>232</v>
      </c>
      <c r="D118" t="s">
        <v>226</v>
      </c>
      <c r="E118" t="s">
        <v>135</v>
      </c>
      <c r="F118" t="s">
        <v>219</v>
      </c>
    </row>
    <row r="119" spans="1:6" x14ac:dyDescent="0.25">
      <c r="A119" s="24">
        <v>46010</v>
      </c>
      <c r="B119">
        <v>2421.8200000000002</v>
      </c>
      <c r="C119" t="s">
        <v>239</v>
      </c>
      <c r="D119" t="s">
        <v>225</v>
      </c>
      <c r="E119" t="s">
        <v>85</v>
      </c>
      <c r="F119" t="s">
        <v>220</v>
      </c>
    </row>
    <row r="120" spans="1:6" x14ac:dyDescent="0.25">
      <c r="A120" s="24">
        <v>46014</v>
      </c>
      <c r="B120">
        <v>30.75</v>
      </c>
      <c r="C120" t="s">
        <v>239</v>
      </c>
      <c r="D120" t="s">
        <v>50</v>
      </c>
      <c r="E120" t="s">
        <v>124</v>
      </c>
      <c r="F120" t="s">
        <v>220</v>
      </c>
    </row>
    <row r="121" spans="1:6" x14ac:dyDescent="0.25">
      <c r="A121" s="24">
        <v>46020</v>
      </c>
      <c r="B121">
        <v>172.71</v>
      </c>
      <c r="C121" t="s">
        <v>239</v>
      </c>
      <c r="D121" t="s">
        <v>226</v>
      </c>
      <c r="E121" t="s">
        <v>196</v>
      </c>
      <c r="F121" t="s">
        <v>219</v>
      </c>
    </row>
    <row r="122" spans="1:6" x14ac:dyDescent="0.25">
      <c r="A122" s="24">
        <v>46020</v>
      </c>
      <c r="B122">
        <v>16.22</v>
      </c>
      <c r="C122" t="s">
        <v>239</v>
      </c>
      <c r="D122" t="s">
        <v>50</v>
      </c>
      <c r="E122" t="s">
        <v>193</v>
      </c>
      <c r="F122" t="s">
        <v>220</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71AE-851B-4549-99A3-9E5121A3ADD9}">
  <dimension ref="A1:S61"/>
  <sheetViews>
    <sheetView topLeftCell="A32" workbookViewId="0">
      <selection activeCell="B42" sqref="B42"/>
    </sheetView>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7109375" bestFit="1" customWidth="1"/>
    <col min="6" max="6" width="19.425781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72</v>
      </c>
      <c r="G1" t="s">
        <v>5</v>
      </c>
      <c r="H1" t="s">
        <v>6</v>
      </c>
      <c r="I1" t="s">
        <v>7</v>
      </c>
      <c r="J1" t="s">
        <v>8</v>
      </c>
      <c r="K1" t="s">
        <v>9</v>
      </c>
      <c r="L1" t="s">
        <v>10</v>
      </c>
      <c r="M1" t="s">
        <v>11</v>
      </c>
      <c r="N1" t="s">
        <v>12</v>
      </c>
      <c r="O1" t="s">
        <v>13</v>
      </c>
      <c r="P1" t="s">
        <v>14</v>
      </c>
      <c r="Q1" t="s">
        <v>15</v>
      </c>
      <c r="R1" t="s">
        <v>16</v>
      </c>
      <c r="S1" t="s">
        <v>17</v>
      </c>
    </row>
    <row r="2" spans="1:19" x14ac:dyDescent="0.25">
      <c r="A2" s="24">
        <v>46021</v>
      </c>
      <c r="B2">
        <v>649.77</v>
      </c>
      <c r="C2">
        <v>1023044526</v>
      </c>
      <c r="D2" t="s">
        <v>59</v>
      </c>
      <c r="E2" t="s">
        <v>50</v>
      </c>
      <c r="F2" t="s">
        <v>140</v>
      </c>
      <c r="G2" t="s">
        <v>19</v>
      </c>
      <c r="H2" t="s">
        <v>19</v>
      </c>
      <c r="I2" t="s">
        <v>19</v>
      </c>
      <c r="J2">
        <v>51394309</v>
      </c>
      <c r="K2" t="s">
        <v>19</v>
      </c>
      <c r="L2" t="s">
        <v>19</v>
      </c>
      <c r="M2" t="s">
        <v>19</v>
      </c>
      <c r="N2" t="s">
        <v>19</v>
      </c>
      <c r="O2">
        <v>51394309</v>
      </c>
      <c r="P2">
        <v>91005661828377</v>
      </c>
      <c r="Q2" t="s">
        <v>19</v>
      </c>
      <c r="R2" t="s">
        <v>19</v>
      </c>
      <c r="S2" t="s">
        <v>19</v>
      </c>
    </row>
    <row r="3" spans="1:19" x14ac:dyDescent="0.25">
      <c r="A3" s="24">
        <v>46021</v>
      </c>
      <c r="B3">
        <v>78.03</v>
      </c>
      <c r="C3">
        <v>1023044526</v>
      </c>
      <c r="D3" t="s">
        <v>59</v>
      </c>
      <c r="E3" t="s">
        <v>50</v>
      </c>
      <c r="F3" t="s">
        <v>141</v>
      </c>
      <c r="G3" t="s">
        <v>19</v>
      </c>
      <c r="H3" t="s">
        <v>19</v>
      </c>
      <c r="I3" t="s">
        <v>19</v>
      </c>
      <c r="J3">
        <v>11875248</v>
      </c>
      <c r="K3" t="s">
        <v>19</v>
      </c>
      <c r="L3" t="s">
        <v>19</v>
      </c>
      <c r="M3" t="s">
        <v>19</v>
      </c>
      <c r="N3" t="s">
        <v>19</v>
      </c>
      <c r="O3">
        <v>11875248</v>
      </c>
      <c r="P3">
        <v>91005662779098</v>
      </c>
      <c r="Q3" t="s">
        <v>19</v>
      </c>
      <c r="R3" t="s">
        <v>19</v>
      </c>
      <c r="S3" t="s">
        <v>19</v>
      </c>
    </row>
    <row r="4" spans="1:19" x14ac:dyDescent="0.25">
      <c r="A4" s="24">
        <v>46021</v>
      </c>
      <c r="B4">
        <v>67.94</v>
      </c>
      <c r="C4">
        <v>1023044526</v>
      </c>
      <c r="D4" t="s">
        <v>59</v>
      </c>
      <c r="E4" t="s">
        <v>50</v>
      </c>
      <c r="F4" t="s">
        <v>142</v>
      </c>
      <c r="G4" t="s">
        <v>19</v>
      </c>
      <c r="H4" t="s">
        <v>19</v>
      </c>
      <c r="I4" t="s">
        <v>19</v>
      </c>
      <c r="J4">
        <v>12008906</v>
      </c>
      <c r="K4" t="s">
        <v>19</v>
      </c>
      <c r="L4" t="s">
        <v>19</v>
      </c>
      <c r="M4" t="s">
        <v>19</v>
      </c>
      <c r="N4" t="s">
        <v>19</v>
      </c>
      <c r="O4">
        <v>12008906</v>
      </c>
      <c r="P4">
        <v>91005663099828</v>
      </c>
      <c r="Q4" t="s">
        <v>19</v>
      </c>
      <c r="R4" t="s">
        <v>19</v>
      </c>
      <c r="S4" t="s">
        <v>19</v>
      </c>
    </row>
    <row r="5" spans="1:19" x14ac:dyDescent="0.25">
      <c r="A5" s="24">
        <v>46021</v>
      </c>
      <c r="B5">
        <v>67.94</v>
      </c>
      <c r="C5">
        <v>1023044526</v>
      </c>
      <c r="D5" t="s">
        <v>59</v>
      </c>
      <c r="E5" t="s">
        <v>50</v>
      </c>
      <c r="F5" t="s">
        <v>143</v>
      </c>
      <c r="G5" t="s">
        <v>19</v>
      </c>
      <c r="H5" t="s">
        <v>19</v>
      </c>
      <c r="I5" t="s">
        <v>19</v>
      </c>
      <c r="J5">
        <v>51300558</v>
      </c>
      <c r="K5" t="s">
        <v>19</v>
      </c>
      <c r="L5" t="s">
        <v>19</v>
      </c>
      <c r="M5" t="s">
        <v>19</v>
      </c>
      <c r="N5" t="s">
        <v>19</v>
      </c>
      <c r="O5">
        <v>51300558</v>
      </c>
      <c r="P5">
        <v>91005662150681</v>
      </c>
      <c r="Q5" t="s">
        <v>19</v>
      </c>
      <c r="R5" t="s">
        <v>19</v>
      </c>
      <c r="S5" t="s">
        <v>19</v>
      </c>
    </row>
    <row r="6" spans="1:19" x14ac:dyDescent="0.25">
      <c r="A6" s="24">
        <v>46021</v>
      </c>
      <c r="B6">
        <v>135.88</v>
      </c>
      <c r="C6">
        <v>1023044526</v>
      </c>
      <c r="D6" t="s">
        <v>59</v>
      </c>
      <c r="E6" t="s">
        <v>50</v>
      </c>
      <c r="F6" t="s">
        <v>144</v>
      </c>
      <c r="G6" t="s">
        <v>19</v>
      </c>
      <c r="H6" t="s">
        <v>19</v>
      </c>
      <c r="I6" t="s">
        <v>19</v>
      </c>
      <c r="J6">
        <v>11875250</v>
      </c>
      <c r="K6" t="s">
        <v>19</v>
      </c>
      <c r="L6" t="s">
        <v>19</v>
      </c>
      <c r="M6" t="s">
        <v>19</v>
      </c>
      <c r="N6" t="s">
        <v>19</v>
      </c>
      <c r="O6">
        <v>11875250</v>
      </c>
      <c r="P6">
        <v>91005662781839</v>
      </c>
      <c r="Q6" t="s">
        <v>19</v>
      </c>
      <c r="R6" t="s">
        <v>19</v>
      </c>
      <c r="S6" t="s">
        <v>19</v>
      </c>
    </row>
    <row r="7" spans="1:19" x14ac:dyDescent="0.25">
      <c r="A7" s="24">
        <v>46021</v>
      </c>
      <c r="B7">
        <v>104.08</v>
      </c>
      <c r="C7">
        <v>1982632915</v>
      </c>
      <c r="D7" t="s">
        <v>86</v>
      </c>
      <c r="E7" t="s">
        <v>103</v>
      </c>
      <c r="F7" t="s">
        <v>145</v>
      </c>
      <c r="G7" t="s">
        <v>19</v>
      </c>
      <c r="H7" t="s">
        <v>19</v>
      </c>
      <c r="I7" t="s">
        <v>19</v>
      </c>
      <c r="J7">
        <v>100205287646</v>
      </c>
      <c r="K7" t="s">
        <v>19</v>
      </c>
      <c r="L7" t="s">
        <v>19</v>
      </c>
      <c r="M7" t="s">
        <v>19</v>
      </c>
      <c r="N7" t="s">
        <v>19</v>
      </c>
      <c r="O7">
        <v>100205287646</v>
      </c>
      <c r="P7">
        <v>91005666530365</v>
      </c>
      <c r="Q7" t="s">
        <v>19</v>
      </c>
      <c r="R7" t="s">
        <v>19</v>
      </c>
      <c r="S7" t="s">
        <v>19</v>
      </c>
    </row>
    <row r="8" spans="1:19" x14ac:dyDescent="0.25">
      <c r="A8" s="24">
        <v>46021</v>
      </c>
      <c r="B8">
        <v>115.64</v>
      </c>
      <c r="C8">
        <v>1982632915</v>
      </c>
      <c r="D8" t="s">
        <v>86</v>
      </c>
      <c r="E8" t="s">
        <v>103</v>
      </c>
      <c r="F8" t="s">
        <v>146</v>
      </c>
      <c r="G8" t="s">
        <v>19</v>
      </c>
      <c r="H8" t="s">
        <v>19</v>
      </c>
      <c r="I8" t="s">
        <v>19</v>
      </c>
      <c r="J8">
        <v>13602703</v>
      </c>
      <c r="K8" t="s">
        <v>19</v>
      </c>
      <c r="L8" t="s">
        <v>19</v>
      </c>
      <c r="M8" t="s">
        <v>19</v>
      </c>
      <c r="N8" t="s">
        <v>19</v>
      </c>
      <c r="O8">
        <v>13602703</v>
      </c>
      <c r="P8">
        <v>91005662802359</v>
      </c>
      <c r="Q8" t="s">
        <v>19</v>
      </c>
      <c r="R8" t="s">
        <v>19</v>
      </c>
      <c r="S8" t="s">
        <v>19</v>
      </c>
    </row>
    <row r="9" spans="1:19" x14ac:dyDescent="0.25">
      <c r="A9" s="24">
        <v>46021</v>
      </c>
      <c r="B9">
        <v>202.7</v>
      </c>
      <c r="C9">
        <v>1023044526</v>
      </c>
      <c r="D9" t="s">
        <v>147</v>
      </c>
      <c r="E9" t="s">
        <v>50</v>
      </c>
      <c r="F9" t="s">
        <v>148</v>
      </c>
      <c r="G9" t="s">
        <v>19</v>
      </c>
      <c r="H9" t="s">
        <v>19</v>
      </c>
      <c r="I9" t="s">
        <v>19</v>
      </c>
      <c r="J9">
        <v>13588153</v>
      </c>
      <c r="K9" t="s">
        <v>19</v>
      </c>
      <c r="L9" t="s">
        <v>19</v>
      </c>
      <c r="M9" t="s">
        <v>19</v>
      </c>
      <c r="N9" t="s">
        <v>19</v>
      </c>
      <c r="O9">
        <v>13588153</v>
      </c>
      <c r="P9">
        <v>91005662830943</v>
      </c>
      <c r="Q9" t="s">
        <v>19</v>
      </c>
      <c r="R9" t="s">
        <v>19</v>
      </c>
      <c r="S9" t="s">
        <v>19</v>
      </c>
    </row>
    <row r="10" spans="1:19" x14ac:dyDescent="0.25">
      <c r="A10" s="24">
        <v>46021</v>
      </c>
      <c r="B10">
        <v>136.02000000000001</v>
      </c>
      <c r="C10">
        <v>1023044526</v>
      </c>
      <c r="D10" t="s">
        <v>86</v>
      </c>
      <c r="E10" t="s">
        <v>87</v>
      </c>
      <c r="F10" t="s">
        <v>149</v>
      </c>
      <c r="G10" t="s">
        <v>19</v>
      </c>
      <c r="H10" t="s">
        <v>19</v>
      </c>
      <c r="I10" t="s">
        <v>19</v>
      </c>
      <c r="J10">
        <v>16992898</v>
      </c>
      <c r="K10" t="s">
        <v>19</v>
      </c>
      <c r="L10" t="s">
        <v>19</v>
      </c>
      <c r="M10" t="s">
        <v>19</v>
      </c>
      <c r="N10" t="s">
        <v>19</v>
      </c>
      <c r="O10">
        <v>16992898</v>
      </c>
      <c r="P10">
        <v>91004336575497</v>
      </c>
      <c r="Q10" t="s">
        <v>19</v>
      </c>
      <c r="R10" t="s">
        <v>19</v>
      </c>
      <c r="S10" t="s">
        <v>19</v>
      </c>
    </row>
    <row r="11" spans="1:19" x14ac:dyDescent="0.25">
      <c r="A11" s="24">
        <v>46021</v>
      </c>
      <c r="B11">
        <v>298.75</v>
      </c>
      <c r="C11">
        <v>1023044526</v>
      </c>
      <c r="D11" t="s">
        <v>150</v>
      </c>
      <c r="E11" t="s">
        <v>39</v>
      </c>
      <c r="F11" t="s">
        <v>151</v>
      </c>
      <c r="G11" t="s">
        <v>19</v>
      </c>
      <c r="H11" t="s">
        <v>19</v>
      </c>
      <c r="I11" t="s">
        <v>19</v>
      </c>
      <c r="J11">
        <v>11999714</v>
      </c>
      <c r="K11" t="s">
        <v>19</v>
      </c>
      <c r="L11" t="s">
        <v>19</v>
      </c>
      <c r="M11" t="s">
        <v>19</v>
      </c>
      <c r="N11" t="s">
        <v>19</v>
      </c>
      <c r="O11">
        <v>11999714</v>
      </c>
      <c r="P11">
        <v>91005464896715</v>
      </c>
      <c r="Q11" t="s">
        <v>19</v>
      </c>
      <c r="R11" t="s">
        <v>19</v>
      </c>
      <c r="S11" t="s">
        <v>19</v>
      </c>
    </row>
    <row r="12" spans="1:19" x14ac:dyDescent="0.25">
      <c r="A12" s="24">
        <v>46021</v>
      </c>
      <c r="B12">
        <v>583.5</v>
      </c>
      <c r="C12">
        <v>1790866564</v>
      </c>
      <c r="D12" t="s">
        <v>71</v>
      </c>
      <c r="E12" t="s">
        <v>20</v>
      </c>
      <c r="F12" t="s">
        <v>152</v>
      </c>
      <c r="G12" t="s">
        <v>19</v>
      </c>
      <c r="H12" t="s">
        <v>19</v>
      </c>
      <c r="I12" t="s">
        <v>19</v>
      </c>
      <c r="J12">
        <v>12000904</v>
      </c>
      <c r="K12" t="s">
        <v>19</v>
      </c>
      <c r="L12" t="s">
        <v>19</v>
      </c>
      <c r="M12" t="s">
        <v>19</v>
      </c>
      <c r="N12" t="s">
        <v>19</v>
      </c>
      <c r="O12">
        <v>12000904</v>
      </c>
      <c r="P12">
        <v>91005464904067</v>
      </c>
      <c r="Q12" t="s">
        <v>19</v>
      </c>
      <c r="R12" t="s">
        <v>19</v>
      </c>
      <c r="S12" t="s">
        <v>19</v>
      </c>
    </row>
    <row r="13" spans="1:19" x14ac:dyDescent="0.25">
      <c r="A13" s="24">
        <v>46021</v>
      </c>
      <c r="B13">
        <v>2606.2199999999998</v>
      </c>
      <c r="C13">
        <v>1023044526</v>
      </c>
      <c r="D13" t="s">
        <v>150</v>
      </c>
      <c r="E13" t="s">
        <v>39</v>
      </c>
      <c r="F13" t="s">
        <v>153</v>
      </c>
      <c r="G13" t="s">
        <v>19</v>
      </c>
      <c r="H13" t="s">
        <v>19</v>
      </c>
      <c r="I13" t="s">
        <v>19</v>
      </c>
      <c r="J13">
        <v>11988208</v>
      </c>
      <c r="K13" t="s">
        <v>19</v>
      </c>
      <c r="L13" t="s">
        <v>19</v>
      </c>
      <c r="M13" t="s">
        <v>19</v>
      </c>
      <c r="N13" t="s">
        <v>19</v>
      </c>
      <c r="O13">
        <v>11988208</v>
      </c>
      <c r="P13">
        <v>91005464901066</v>
      </c>
      <c r="Q13" t="s">
        <v>19</v>
      </c>
      <c r="R13" t="s">
        <v>19</v>
      </c>
      <c r="S13" t="s">
        <v>19</v>
      </c>
    </row>
    <row r="14" spans="1:19" x14ac:dyDescent="0.25">
      <c r="A14" s="24">
        <v>46021</v>
      </c>
      <c r="B14">
        <v>2231.5700000000002</v>
      </c>
      <c r="C14">
        <v>1023044526</v>
      </c>
      <c r="D14" t="s">
        <v>150</v>
      </c>
      <c r="E14" t="s">
        <v>39</v>
      </c>
      <c r="F14" t="s">
        <v>154</v>
      </c>
      <c r="G14" t="s">
        <v>19</v>
      </c>
      <c r="H14" t="s">
        <v>19</v>
      </c>
      <c r="I14" t="s">
        <v>19</v>
      </c>
      <c r="J14">
        <v>11996187</v>
      </c>
      <c r="K14" t="s">
        <v>19</v>
      </c>
      <c r="L14" t="s">
        <v>19</v>
      </c>
      <c r="M14" t="s">
        <v>19</v>
      </c>
      <c r="N14" t="s">
        <v>19</v>
      </c>
      <c r="O14">
        <v>11996187</v>
      </c>
      <c r="P14">
        <v>91005464903697</v>
      </c>
      <c r="Q14" t="s">
        <v>19</v>
      </c>
      <c r="R14" t="s">
        <v>19</v>
      </c>
      <c r="S14" t="s">
        <v>19</v>
      </c>
    </row>
    <row r="15" spans="1:19" x14ac:dyDescent="0.25">
      <c r="A15" s="24">
        <v>46021</v>
      </c>
      <c r="B15">
        <v>974.29</v>
      </c>
      <c r="C15">
        <v>1790866564</v>
      </c>
      <c r="D15" t="s">
        <v>71</v>
      </c>
      <c r="E15" t="s">
        <v>20</v>
      </c>
      <c r="F15" t="s">
        <v>155</v>
      </c>
      <c r="G15" t="s">
        <v>19</v>
      </c>
      <c r="H15" t="s">
        <v>19</v>
      </c>
      <c r="I15" t="s">
        <v>19</v>
      </c>
      <c r="J15">
        <v>11993775</v>
      </c>
      <c r="K15" t="s">
        <v>19</v>
      </c>
      <c r="L15" t="s">
        <v>19</v>
      </c>
      <c r="M15" t="s">
        <v>19</v>
      </c>
      <c r="N15" t="s">
        <v>19</v>
      </c>
      <c r="O15">
        <v>11993775</v>
      </c>
      <c r="P15">
        <v>91005464903617</v>
      </c>
      <c r="Q15" t="s">
        <v>19</v>
      </c>
      <c r="R15" t="s">
        <v>19</v>
      </c>
      <c r="S15" t="s">
        <v>19</v>
      </c>
    </row>
    <row r="16" spans="1:19" x14ac:dyDescent="0.25">
      <c r="A16" s="24">
        <v>46021</v>
      </c>
      <c r="B16">
        <v>183.88</v>
      </c>
      <c r="C16">
        <v>1427138676</v>
      </c>
      <c r="D16" t="s">
        <v>70</v>
      </c>
      <c r="E16" t="s">
        <v>35</v>
      </c>
      <c r="F16" t="s">
        <v>156</v>
      </c>
      <c r="G16" t="s">
        <v>19</v>
      </c>
      <c r="H16" t="s">
        <v>19</v>
      </c>
      <c r="I16" t="s">
        <v>19</v>
      </c>
      <c r="J16">
        <v>11992226</v>
      </c>
      <c r="K16" t="s">
        <v>19</v>
      </c>
      <c r="L16" t="s">
        <v>19</v>
      </c>
      <c r="M16" t="s">
        <v>19</v>
      </c>
      <c r="N16" t="s">
        <v>19</v>
      </c>
      <c r="O16">
        <v>11992226</v>
      </c>
      <c r="P16">
        <v>91005464901551</v>
      </c>
      <c r="Q16" t="s">
        <v>19</v>
      </c>
      <c r="R16" t="s">
        <v>19</v>
      </c>
      <c r="S16" t="s">
        <v>19</v>
      </c>
    </row>
    <row r="17" spans="1:19" x14ac:dyDescent="0.25">
      <c r="A17" s="24">
        <v>46021</v>
      </c>
      <c r="B17">
        <v>12.55</v>
      </c>
      <c r="C17">
        <v>1023044526</v>
      </c>
      <c r="D17" t="s">
        <v>70</v>
      </c>
      <c r="E17" t="s">
        <v>39</v>
      </c>
      <c r="F17" t="s">
        <v>157</v>
      </c>
      <c r="G17" t="s">
        <v>19</v>
      </c>
      <c r="H17" t="s">
        <v>19</v>
      </c>
      <c r="I17" t="s">
        <v>19</v>
      </c>
      <c r="J17">
        <v>11031011</v>
      </c>
      <c r="K17" t="s">
        <v>19</v>
      </c>
      <c r="L17" t="s">
        <v>19</v>
      </c>
      <c r="M17" t="s">
        <v>19</v>
      </c>
      <c r="N17" t="s">
        <v>19</v>
      </c>
      <c r="O17">
        <v>11031011</v>
      </c>
      <c r="P17">
        <v>91004335145509</v>
      </c>
      <c r="Q17" t="s">
        <v>19</v>
      </c>
      <c r="R17" t="s">
        <v>19</v>
      </c>
      <c r="S17" t="s">
        <v>19</v>
      </c>
    </row>
    <row r="18" spans="1:19" x14ac:dyDescent="0.25">
      <c r="A18" s="24">
        <v>46021</v>
      </c>
      <c r="B18">
        <v>124.8</v>
      </c>
      <c r="C18">
        <v>1023044526</v>
      </c>
      <c r="D18" t="s">
        <v>65</v>
      </c>
      <c r="E18" t="s">
        <v>50</v>
      </c>
      <c r="F18" t="s">
        <v>158</v>
      </c>
      <c r="G18" t="s">
        <v>19</v>
      </c>
      <c r="H18" t="s">
        <v>19</v>
      </c>
      <c r="I18" t="s">
        <v>19</v>
      </c>
      <c r="J18">
        <v>100208137517</v>
      </c>
      <c r="K18" t="s">
        <v>19</v>
      </c>
      <c r="L18" t="s">
        <v>19</v>
      </c>
      <c r="M18" t="s">
        <v>19</v>
      </c>
      <c r="N18" t="s">
        <v>19</v>
      </c>
      <c r="O18">
        <v>100208137517</v>
      </c>
      <c r="P18">
        <v>91004337693418</v>
      </c>
      <c r="Q18" t="s">
        <v>19</v>
      </c>
      <c r="R18" t="s">
        <v>19</v>
      </c>
      <c r="S18" t="s">
        <v>19</v>
      </c>
    </row>
    <row r="19" spans="1:19" x14ac:dyDescent="0.25">
      <c r="A19" s="24">
        <v>46021</v>
      </c>
      <c r="B19">
        <v>25.1</v>
      </c>
      <c r="C19">
        <v>561319745</v>
      </c>
      <c r="D19" t="s">
        <v>159</v>
      </c>
      <c r="E19" t="s">
        <v>47</v>
      </c>
      <c r="F19" t="s">
        <v>160</v>
      </c>
      <c r="G19" t="s">
        <v>19</v>
      </c>
      <c r="H19" t="s">
        <v>19</v>
      </c>
      <c r="I19" t="s">
        <v>19</v>
      </c>
      <c r="J19">
        <v>384877611228</v>
      </c>
      <c r="K19" t="s">
        <v>19</v>
      </c>
      <c r="L19" t="s">
        <v>19</v>
      </c>
      <c r="M19" t="s">
        <v>19</v>
      </c>
      <c r="N19" t="s">
        <v>19</v>
      </c>
      <c r="O19">
        <v>384877611228</v>
      </c>
      <c r="P19">
        <v>91005671815913</v>
      </c>
      <c r="Q19" t="s">
        <v>19</v>
      </c>
      <c r="R19" t="s">
        <v>19</v>
      </c>
      <c r="S19" t="s">
        <v>19</v>
      </c>
    </row>
    <row r="20" spans="1:19" x14ac:dyDescent="0.25">
      <c r="A20" s="24">
        <v>46021</v>
      </c>
      <c r="B20">
        <v>534.66</v>
      </c>
      <c r="C20">
        <v>561319745</v>
      </c>
      <c r="D20" t="s">
        <v>68</v>
      </c>
      <c r="E20" t="s">
        <v>47</v>
      </c>
      <c r="F20" t="s">
        <v>161</v>
      </c>
      <c r="G20" t="s">
        <v>19</v>
      </c>
      <c r="H20" t="s">
        <v>19</v>
      </c>
      <c r="I20" t="s">
        <v>19</v>
      </c>
      <c r="J20">
        <v>10807706</v>
      </c>
      <c r="K20" t="s">
        <v>19</v>
      </c>
      <c r="L20" t="s">
        <v>19</v>
      </c>
      <c r="M20" t="s">
        <v>19</v>
      </c>
      <c r="N20" t="s">
        <v>19</v>
      </c>
      <c r="O20">
        <v>10807706</v>
      </c>
      <c r="P20">
        <v>91004135206641</v>
      </c>
      <c r="Q20" t="s">
        <v>19</v>
      </c>
      <c r="R20" t="s">
        <v>19</v>
      </c>
      <c r="S20" t="s">
        <v>19</v>
      </c>
    </row>
    <row r="21" spans="1:19" x14ac:dyDescent="0.25">
      <c r="A21" s="24">
        <v>46021</v>
      </c>
      <c r="B21">
        <v>79.2</v>
      </c>
      <c r="C21">
        <v>550862343</v>
      </c>
      <c r="D21" t="s">
        <v>68</v>
      </c>
      <c r="E21" t="s">
        <v>42</v>
      </c>
      <c r="F21" t="s">
        <v>162</v>
      </c>
      <c r="G21" t="s">
        <v>19</v>
      </c>
      <c r="H21" t="s">
        <v>19</v>
      </c>
      <c r="I21" t="s">
        <v>19</v>
      </c>
      <c r="J21">
        <v>10767112</v>
      </c>
      <c r="K21" t="s">
        <v>19</v>
      </c>
      <c r="L21" t="s">
        <v>19</v>
      </c>
      <c r="M21" t="s">
        <v>19</v>
      </c>
      <c r="N21" t="s">
        <v>19</v>
      </c>
      <c r="O21">
        <v>10767112</v>
      </c>
      <c r="P21">
        <v>91004135206454</v>
      </c>
      <c r="Q21" t="s">
        <v>19</v>
      </c>
      <c r="R21" t="s">
        <v>19</v>
      </c>
      <c r="S21" t="s">
        <v>19</v>
      </c>
    </row>
    <row r="22" spans="1:19" x14ac:dyDescent="0.25">
      <c r="A22" s="24">
        <v>46021</v>
      </c>
      <c r="B22">
        <v>30.75</v>
      </c>
      <c r="C22">
        <v>561319745</v>
      </c>
      <c r="D22" t="s">
        <v>69</v>
      </c>
      <c r="E22" t="s">
        <v>47</v>
      </c>
      <c r="F22" t="s">
        <v>163</v>
      </c>
      <c r="G22" t="s">
        <v>19</v>
      </c>
      <c r="H22" t="s">
        <v>19</v>
      </c>
      <c r="I22" t="s">
        <v>19</v>
      </c>
      <c r="J22">
        <v>10884940</v>
      </c>
      <c r="K22" t="s">
        <v>19</v>
      </c>
      <c r="L22" t="s">
        <v>19</v>
      </c>
      <c r="M22" t="s">
        <v>19</v>
      </c>
      <c r="N22" t="s">
        <v>19</v>
      </c>
      <c r="O22">
        <v>10884940</v>
      </c>
      <c r="P22">
        <v>91004135673685</v>
      </c>
      <c r="Q22" t="s">
        <v>19</v>
      </c>
      <c r="R22" t="s">
        <v>19</v>
      </c>
      <c r="S22" t="s">
        <v>19</v>
      </c>
    </row>
    <row r="23" spans="1:19" x14ac:dyDescent="0.25">
      <c r="A23" s="24">
        <v>46021</v>
      </c>
      <c r="B23">
        <v>13.96</v>
      </c>
      <c r="C23">
        <v>561319745</v>
      </c>
      <c r="D23" t="s">
        <v>69</v>
      </c>
      <c r="E23" t="s">
        <v>47</v>
      </c>
      <c r="F23" t="s">
        <v>164</v>
      </c>
      <c r="G23" t="s">
        <v>19</v>
      </c>
      <c r="H23" t="s">
        <v>19</v>
      </c>
      <c r="I23" t="s">
        <v>19</v>
      </c>
      <c r="J23">
        <v>10915886</v>
      </c>
      <c r="K23" t="s">
        <v>19</v>
      </c>
      <c r="L23" t="s">
        <v>19</v>
      </c>
      <c r="M23" t="s">
        <v>19</v>
      </c>
      <c r="N23" t="s">
        <v>19</v>
      </c>
      <c r="O23">
        <v>10915886</v>
      </c>
      <c r="P23">
        <v>91004135685506</v>
      </c>
      <c r="Q23" t="s">
        <v>19</v>
      </c>
      <c r="R23" t="s">
        <v>19</v>
      </c>
      <c r="S23" t="s">
        <v>19</v>
      </c>
    </row>
    <row r="24" spans="1:19" x14ac:dyDescent="0.25">
      <c r="A24" s="24">
        <v>46021</v>
      </c>
      <c r="B24">
        <v>26.4</v>
      </c>
      <c r="C24">
        <v>561319748</v>
      </c>
      <c r="D24" t="s">
        <v>165</v>
      </c>
      <c r="E24" t="s">
        <v>47</v>
      </c>
      <c r="F24" t="s">
        <v>166</v>
      </c>
      <c r="G24" t="s">
        <v>19</v>
      </c>
      <c r="H24" t="s">
        <v>19</v>
      </c>
      <c r="I24" t="s">
        <v>19</v>
      </c>
      <c r="J24">
        <v>384877960976</v>
      </c>
      <c r="K24" t="s">
        <v>19</v>
      </c>
      <c r="L24" t="s">
        <v>19</v>
      </c>
      <c r="M24" t="s">
        <v>19</v>
      </c>
      <c r="N24" t="s">
        <v>19</v>
      </c>
      <c r="O24">
        <v>384877960976</v>
      </c>
      <c r="P24">
        <v>91005671604467</v>
      </c>
      <c r="Q24" t="s">
        <v>19</v>
      </c>
      <c r="R24" t="s">
        <v>19</v>
      </c>
      <c r="S24" t="s">
        <v>19</v>
      </c>
    </row>
    <row r="25" spans="1:19" x14ac:dyDescent="0.25">
      <c r="A25" s="24">
        <v>46021</v>
      </c>
      <c r="B25">
        <v>132.66</v>
      </c>
      <c r="C25">
        <v>561319745</v>
      </c>
      <c r="D25" t="s">
        <v>68</v>
      </c>
      <c r="E25" t="s">
        <v>47</v>
      </c>
      <c r="F25" t="s">
        <v>167</v>
      </c>
      <c r="G25" t="s">
        <v>19</v>
      </c>
      <c r="H25" t="s">
        <v>19</v>
      </c>
      <c r="I25" t="s">
        <v>19</v>
      </c>
      <c r="J25">
        <v>384877951162</v>
      </c>
      <c r="K25" t="s">
        <v>19</v>
      </c>
      <c r="L25" t="s">
        <v>19</v>
      </c>
      <c r="M25" t="s">
        <v>19</v>
      </c>
      <c r="N25" t="s">
        <v>19</v>
      </c>
      <c r="O25">
        <v>384877951162</v>
      </c>
      <c r="P25">
        <v>91005671618583</v>
      </c>
      <c r="Q25" t="s">
        <v>19</v>
      </c>
      <c r="R25" t="s">
        <v>19</v>
      </c>
      <c r="S25" t="s">
        <v>19</v>
      </c>
    </row>
    <row r="26" spans="1:19" x14ac:dyDescent="0.25">
      <c r="A26" s="24">
        <v>46021</v>
      </c>
      <c r="B26">
        <v>16.22</v>
      </c>
      <c r="C26">
        <v>561319745</v>
      </c>
      <c r="D26" t="s">
        <v>105</v>
      </c>
      <c r="E26" t="s">
        <v>50</v>
      </c>
      <c r="F26" t="s">
        <v>168</v>
      </c>
      <c r="G26" t="s">
        <v>19</v>
      </c>
      <c r="H26" t="s">
        <v>19</v>
      </c>
      <c r="I26" t="s">
        <v>19</v>
      </c>
      <c r="J26">
        <v>12809648</v>
      </c>
      <c r="K26" t="s">
        <v>19</v>
      </c>
      <c r="L26" t="s">
        <v>19</v>
      </c>
      <c r="M26" t="s">
        <v>19</v>
      </c>
      <c r="N26" t="s">
        <v>19</v>
      </c>
      <c r="O26">
        <v>12809648</v>
      </c>
      <c r="P26">
        <v>91005778183178</v>
      </c>
      <c r="Q26" t="s">
        <v>19</v>
      </c>
      <c r="R26" t="s">
        <v>19</v>
      </c>
      <c r="S26" t="s">
        <v>19</v>
      </c>
    </row>
    <row r="27" spans="1:19" x14ac:dyDescent="0.25">
      <c r="A27" s="24">
        <v>46021</v>
      </c>
      <c r="B27">
        <v>85.52</v>
      </c>
      <c r="C27">
        <v>561883003</v>
      </c>
      <c r="D27" t="s">
        <v>107</v>
      </c>
      <c r="E27" t="s">
        <v>97</v>
      </c>
      <c r="F27" t="s">
        <v>169</v>
      </c>
      <c r="G27" t="s">
        <v>19</v>
      </c>
      <c r="H27" t="s">
        <v>19</v>
      </c>
      <c r="I27" t="s">
        <v>19</v>
      </c>
      <c r="J27">
        <v>12810331</v>
      </c>
      <c r="K27" t="s">
        <v>19</v>
      </c>
      <c r="L27" t="s">
        <v>19</v>
      </c>
      <c r="M27" t="s">
        <v>19</v>
      </c>
      <c r="N27" t="s">
        <v>19</v>
      </c>
      <c r="O27">
        <v>12810331</v>
      </c>
      <c r="P27">
        <v>91005777837808</v>
      </c>
      <c r="Q27" t="s">
        <v>19</v>
      </c>
      <c r="R27" t="s">
        <v>19</v>
      </c>
      <c r="S27" t="s">
        <v>19</v>
      </c>
    </row>
    <row r="28" spans="1:19" x14ac:dyDescent="0.25">
      <c r="A28" s="24"/>
    </row>
    <row r="41" spans="2:6" x14ac:dyDescent="0.25">
      <c r="B41" s="32">
        <v>1056.28</v>
      </c>
      <c r="C41" s="25" t="s">
        <v>228</v>
      </c>
      <c r="D41" s="25" t="s">
        <v>226</v>
      </c>
      <c r="E41" s="25">
        <v>825361000030553</v>
      </c>
      <c r="F41" s="30" t="s">
        <v>219</v>
      </c>
    </row>
    <row r="42" spans="2:6" x14ac:dyDescent="0.25">
      <c r="B42" s="33">
        <v>4730.76</v>
      </c>
      <c r="C42" s="26" t="s">
        <v>228</v>
      </c>
      <c r="D42" s="26" t="s">
        <v>50</v>
      </c>
      <c r="E42" s="26">
        <v>825361000032120</v>
      </c>
      <c r="F42" s="31" t="s">
        <v>220</v>
      </c>
    </row>
    <row r="43" spans="2:6" x14ac:dyDescent="0.25">
      <c r="B43" s="32">
        <v>68.010000000000005</v>
      </c>
      <c r="C43" s="25" t="s">
        <v>228</v>
      </c>
      <c r="D43" s="25" t="s">
        <v>50</v>
      </c>
      <c r="E43" s="25">
        <v>882535901079835</v>
      </c>
      <c r="F43" s="30" t="s">
        <v>219</v>
      </c>
    </row>
    <row r="44" spans="2:6" x14ac:dyDescent="0.25">
      <c r="B44" s="33">
        <v>689.44</v>
      </c>
      <c r="C44" s="26" t="s">
        <v>229</v>
      </c>
      <c r="D44" s="26" t="s">
        <v>226</v>
      </c>
      <c r="E44" s="26">
        <v>251227090065121</v>
      </c>
      <c r="F44" s="31" t="s">
        <v>219</v>
      </c>
    </row>
    <row r="45" spans="2:6" x14ac:dyDescent="0.25">
      <c r="B45" s="32">
        <v>338.95</v>
      </c>
      <c r="C45" s="25" t="s">
        <v>229</v>
      </c>
      <c r="D45" s="25" t="s">
        <v>226</v>
      </c>
      <c r="E45" s="25">
        <v>602300851703</v>
      </c>
      <c r="F45" s="30" t="s">
        <v>219</v>
      </c>
    </row>
    <row r="46" spans="2:6" x14ac:dyDescent="0.25">
      <c r="B46" s="33">
        <v>681.73</v>
      </c>
      <c r="C46" s="26" t="s">
        <v>230</v>
      </c>
      <c r="D46" s="26" t="s">
        <v>50</v>
      </c>
      <c r="E46" s="26" t="s">
        <v>130</v>
      </c>
      <c r="F46" s="31" t="s">
        <v>219</v>
      </c>
    </row>
    <row r="47" spans="2:6" x14ac:dyDescent="0.25">
      <c r="B47" s="32">
        <v>79.2</v>
      </c>
      <c r="C47" s="25" t="s">
        <v>230</v>
      </c>
      <c r="D47" s="25" t="s">
        <v>225</v>
      </c>
      <c r="E47" s="25">
        <v>3401226444</v>
      </c>
      <c r="F47" s="30" t="s">
        <v>219</v>
      </c>
    </row>
    <row r="48" spans="2:6" x14ac:dyDescent="0.25">
      <c r="B48" s="33">
        <v>46.24</v>
      </c>
      <c r="C48" s="26" t="s">
        <v>230</v>
      </c>
      <c r="D48" s="26" t="s">
        <v>225</v>
      </c>
      <c r="E48" s="26" t="s">
        <v>132</v>
      </c>
      <c r="F48" s="31" t="s">
        <v>219</v>
      </c>
    </row>
    <row r="49" spans="2:6" x14ac:dyDescent="0.25">
      <c r="B49" s="32">
        <v>391.78</v>
      </c>
      <c r="C49" s="25" t="s">
        <v>230</v>
      </c>
      <c r="D49" s="25" t="s">
        <v>50</v>
      </c>
      <c r="E49" s="25" t="s">
        <v>133</v>
      </c>
      <c r="F49" s="30" t="s">
        <v>219</v>
      </c>
    </row>
    <row r="50" spans="2:6" x14ac:dyDescent="0.25">
      <c r="B50" s="33">
        <v>147.1</v>
      </c>
      <c r="C50" s="26" t="s">
        <v>230</v>
      </c>
      <c r="D50" s="26" t="s">
        <v>35</v>
      </c>
      <c r="E50" s="26">
        <v>97004542</v>
      </c>
      <c r="F50" s="31" t="s">
        <v>219</v>
      </c>
    </row>
    <row r="51" spans="2:6" x14ac:dyDescent="0.25">
      <c r="B51" s="32">
        <v>49.18</v>
      </c>
      <c r="C51" s="25" t="s">
        <v>231</v>
      </c>
      <c r="D51" s="25" t="s">
        <v>50</v>
      </c>
      <c r="E51" s="25">
        <v>899410895</v>
      </c>
      <c r="F51" s="30" t="s">
        <v>219</v>
      </c>
    </row>
    <row r="52" spans="2:6" x14ac:dyDescent="0.25">
      <c r="B52" s="33">
        <v>791.24</v>
      </c>
      <c r="C52" s="26" t="s">
        <v>231</v>
      </c>
      <c r="D52" s="26" t="s">
        <v>225</v>
      </c>
      <c r="E52" s="26">
        <v>899410896</v>
      </c>
      <c r="F52" s="31" t="s">
        <v>219</v>
      </c>
    </row>
    <row r="53" spans="2:6" x14ac:dyDescent="0.25">
      <c r="B53" s="32">
        <v>105.59</v>
      </c>
      <c r="C53" s="25" t="s">
        <v>232</v>
      </c>
      <c r="D53" s="25" t="s">
        <v>226</v>
      </c>
      <c r="E53" s="25" t="s">
        <v>135</v>
      </c>
      <c r="F53" s="30" t="s">
        <v>219</v>
      </c>
    </row>
    <row r="54" spans="2:6" x14ac:dyDescent="0.25">
      <c r="B54" s="33">
        <v>66.33</v>
      </c>
      <c r="C54" s="26" t="s">
        <v>233</v>
      </c>
      <c r="D54" s="26" t="s">
        <v>50</v>
      </c>
      <c r="E54" s="26" t="s">
        <v>136</v>
      </c>
      <c r="F54" s="31" t="s">
        <v>219</v>
      </c>
    </row>
    <row r="55" spans="2:6" x14ac:dyDescent="0.25">
      <c r="B55" s="32">
        <v>105.59</v>
      </c>
      <c r="C55" s="25" t="s">
        <v>233</v>
      </c>
      <c r="D55" s="25" t="s">
        <v>226</v>
      </c>
      <c r="E55" s="25"/>
      <c r="F55" s="30" t="s">
        <v>219</v>
      </c>
    </row>
    <row r="56" spans="2:6" x14ac:dyDescent="0.25">
      <c r="B56" s="26">
        <v>16.22</v>
      </c>
      <c r="C56" s="26" t="s">
        <v>234</v>
      </c>
      <c r="D56" s="26" t="s">
        <v>50</v>
      </c>
      <c r="E56" s="26" t="s">
        <v>138</v>
      </c>
      <c r="F56" s="31" t="s">
        <v>220</v>
      </c>
    </row>
    <row r="57" spans="2:6" x14ac:dyDescent="0.25">
      <c r="B57" s="25">
        <v>483.1</v>
      </c>
      <c r="C57" s="25" t="s">
        <v>234</v>
      </c>
      <c r="D57" s="25" t="s">
        <v>225</v>
      </c>
      <c r="E57" s="25">
        <v>900130045</v>
      </c>
      <c r="F57" s="30" t="s">
        <v>220</v>
      </c>
    </row>
    <row r="61" spans="2:6" x14ac:dyDescent="0.25">
      <c r="C61">
        <f>SUM(B41:B55)</f>
        <v>9347.42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58F1-DD40-4185-B86E-14A166F8C013}">
  <dimension ref="A1:S28"/>
  <sheetViews>
    <sheetView workbookViewId="0"/>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7109375" bestFit="1" customWidth="1"/>
    <col min="6" max="6" width="27.1406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72</v>
      </c>
      <c r="G1" t="s">
        <v>5</v>
      </c>
      <c r="H1" t="s">
        <v>6</v>
      </c>
      <c r="I1" t="s">
        <v>7</v>
      </c>
      <c r="J1" t="s">
        <v>8</v>
      </c>
      <c r="K1" t="s">
        <v>9</v>
      </c>
      <c r="L1" t="s">
        <v>10</v>
      </c>
      <c r="M1" t="s">
        <v>11</v>
      </c>
      <c r="N1" t="s">
        <v>12</v>
      </c>
      <c r="O1" t="s">
        <v>13</v>
      </c>
      <c r="P1" t="s">
        <v>14</v>
      </c>
      <c r="Q1" t="s">
        <v>15</v>
      </c>
      <c r="R1" t="s">
        <v>16</v>
      </c>
      <c r="S1" t="s">
        <v>17</v>
      </c>
    </row>
    <row r="2" spans="1:19" x14ac:dyDescent="0.25">
      <c r="A2" s="24">
        <v>46020</v>
      </c>
      <c r="B2">
        <v>236.75</v>
      </c>
      <c r="C2">
        <v>1023044526</v>
      </c>
      <c r="D2" t="s">
        <v>59</v>
      </c>
      <c r="E2" t="s">
        <v>50</v>
      </c>
      <c r="F2" t="s">
        <v>170</v>
      </c>
      <c r="G2" t="s">
        <v>19</v>
      </c>
      <c r="H2" t="s">
        <v>19</v>
      </c>
      <c r="I2" t="s">
        <v>19</v>
      </c>
      <c r="J2">
        <v>55944383</v>
      </c>
      <c r="K2" t="s">
        <v>19</v>
      </c>
      <c r="L2" t="s">
        <v>19</v>
      </c>
      <c r="M2" t="s">
        <v>19</v>
      </c>
      <c r="N2" t="s">
        <v>19</v>
      </c>
      <c r="O2">
        <v>55944383</v>
      </c>
      <c r="P2">
        <v>91004334708284</v>
      </c>
      <c r="Q2" t="s">
        <v>19</v>
      </c>
      <c r="R2" t="s">
        <v>19</v>
      </c>
      <c r="S2" t="s">
        <v>19</v>
      </c>
    </row>
    <row r="3" spans="1:19" x14ac:dyDescent="0.25">
      <c r="A3" s="24">
        <v>46020</v>
      </c>
      <c r="B3">
        <v>338.95</v>
      </c>
      <c r="C3">
        <v>550862343</v>
      </c>
      <c r="D3" t="s">
        <v>60</v>
      </c>
      <c r="E3" t="s">
        <v>128</v>
      </c>
      <c r="F3" t="s">
        <v>171</v>
      </c>
      <c r="G3" t="s">
        <v>19</v>
      </c>
      <c r="H3" t="s">
        <v>19</v>
      </c>
      <c r="I3" t="s">
        <v>19</v>
      </c>
      <c r="J3">
        <v>71751323660</v>
      </c>
      <c r="K3" t="s">
        <v>19</v>
      </c>
      <c r="L3" t="s">
        <v>19</v>
      </c>
      <c r="M3" t="s">
        <v>19</v>
      </c>
      <c r="N3" t="s">
        <v>19</v>
      </c>
      <c r="O3">
        <v>71751323660</v>
      </c>
      <c r="P3">
        <v>91004537943406</v>
      </c>
      <c r="Q3" t="s">
        <v>19</v>
      </c>
      <c r="R3" t="s">
        <v>19</v>
      </c>
      <c r="S3" t="s">
        <v>19</v>
      </c>
    </row>
    <row r="4" spans="1:19" x14ac:dyDescent="0.25">
      <c r="A4" s="24">
        <v>46020</v>
      </c>
      <c r="B4">
        <v>250.27</v>
      </c>
      <c r="C4">
        <v>1023044526</v>
      </c>
      <c r="D4" t="s">
        <v>172</v>
      </c>
      <c r="E4" t="s">
        <v>39</v>
      </c>
      <c r="F4" t="s">
        <v>173</v>
      </c>
      <c r="G4" t="s">
        <v>19</v>
      </c>
      <c r="H4" t="s">
        <v>19</v>
      </c>
      <c r="I4" t="s">
        <v>19</v>
      </c>
      <c r="J4">
        <v>11564423</v>
      </c>
      <c r="K4" t="s">
        <v>19</v>
      </c>
      <c r="L4" t="s">
        <v>19</v>
      </c>
      <c r="M4" t="s">
        <v>19</v>
      </c>
      <c r="N4" t="s">
        <v>19</v>
      </c>
      <c r="O4">
        <v>11564423</v>
      </c>
      <c r="P4">
        <v>91004135367527</v>
      </c>
      <c r="Q4" t="s">
        <v>19</v>
      </c>
      <c r="R4" t="s">
        <v>19</v>
      </c>
      <c r="S4" t="s">
        <v>19</v>
      </c>
    </row>
    <row r="5" spans="1:19" x14ac:dyDescent="0.25">
      <c r="A5" s="24">
        <v>46020</v>
      </c>
      <c r="B5">
        <v>647.29999999999995</v>
      </c>
      <c r="C5">
        <v>1790866564</v>
      </c>
      <c r="D5" t="s">
        <v>174</v>
      </c>
      <c r="E5" t="s">
        <v>20</v>
      </c>
      <c r="F5" t="s">
        <v>175</v>
      </c>
      <c r="G5" t="s">
        <v>19</v>
      </c>
      <c r="H5" t="s">
        <v>19</v>
      </c>
      <c r="I5" t="s">
        <v>19</v>
      </c>
      <c r="J5">
        <v>11556528</v>
      </c>
      <c r="K5" t="s">
        <v>19</v>
      </c>
      <c r="L5" t="s">
        <v>19</v>
      </c>
      <c r="M5" t="s">
        <v>19</v>
      </c>
      <c r="N5" t="s">
        <v>19</v>
      </c>
      <c r="O5">
        <v>11556528</v>
      </c>
      <c r="P5">
        <v>91004135365930</v>
      </c>
      <c r="Q5" t="s">
        <v>19</v>
      </c>
      <c r="R5" t="s">
        <v>19</v>
      </c>
      <c r="S5" t="s">
        <v>19</v>
      </c>
    </row>
    <row r="6" spans="1:19" x14ac:dyDescent="0.25">
      <c r="A6" s="24">
        <v>46020</v>
      </c>
      <c r="B6">
        <v>48.82</v>
      </c>
      <c r="C6">
        <v>1023044526</v>
      </c>
      <c r="D6" t="s">
        <v>176</v>
      </c>
      <c r="E6" t="s">
        <v>39</v>
      </c>
      <c r="F6" t="s">
        <v>177</v>
      </c>
      <c r="G6" t="s">
        <v>19</v>
      </c>
      <c r="H6" t="s">
        <v>19</v>
      </c>
      <c r="I6" t="s">
        <v>19</v>
      </c>
      <c r="J6">
        <v>11557549</v>
      </c>
      <c r="K6" t="s">
        <v>19</v>
      </c>
      <c r="L6" t="s">
        <v>19</v>
      </c>
      <c r="M6" t="s">
        <v>19</v>
      </c>
      <c r="N6" t="s">
        <v>19</v>
      </c>
      <c r="O6">
        <v>11557549</v>
      </c>
      <c r="P6">
        <v>91004135374315</v>
      </c>
      <c r="Q6" t="s">
        <v>19</v>
      </c>
      <c r="R6" t="s">
        <v>19</v>
      </c>
      <c r="S6" t="s">
        <v>19</v>
      </c>
    </row>
    <row r="7" spans="1:19" x14ac:dyDescent="0.25">
      <c r="A7" s="24">
        <v>46020</v>
      </c>
      <c r="B7">
        <v>1303.67</v>
      </c>
      <c r="C7">
        <v>1427138676</v>
      </c>
      <c r="D7" t="s">
        <v>176</v>
      </c>
      <c r="E7" t="s">
        <v>35</v>
      </c>
      <c r="F7" t="s">
        <v>178</v>
      </c>
      <c r="G7" t="s">
        <v>19</v>
      </c>
      <c r="H7" t="s">
        <v>19</v>
      </c>
      <c r="I7" t="s">
        <v>19</v>
      </c>
      <c r="J7">
        <v>11559281</v>
      </c>
      <c r="K7" t="s">
        <v>19</v>
      </c>
      <c r="L7" t="s">
        <v>19</v>
      </c>
      <c r="M7" t="s">
        <v>19</v>
      </c>
      <c r="N7" t="s">
        <v>19</v>
      </c>
      <c r="O7">
        <v>11559281</v>
      </c>
      <c r="P7">
        <v>91004135366580</v>
      </c>
      <c r="Q7" t="s">
        <v>19</v>
      </c>
      <c r="R7" t="s">
        <v>19</v>
      </c>
      <c r="S7" t="s">
        <v>19</v>
      </c>
    </row>
    <row r="8" spans="1:19" x14ac:dyDescent="0.25">
      <c r="A8" s="24">
        <v>46020</v>
      </c>
      <c r="B8">
        <v>57.49</v>
      </c>
      <c r="C8">
        <v>1790866564</v>
      </c>
      <c r="D8" t="s">
        <v>172</v>
      </c>
      <c r="E8" t="s">
        <v>20</v>
      </c>
      <c r="F8" t="s">
        <v>179</v>
      </c>
      <c r="G8" t="s">
        <v>19</v>
      </c>
      <c r="H8" t="s">
        <v>19</v>
      </c>
      <c r="I8" t="s">
        <v>19</v>
      </c>
      <c r="J8">
        <v>13143639</v>
      </c>
      <c r="K8" t="s">
        <v>19</v>
      </c>
      <c r="L8" t="s">
        <v>19</v>
      </c>
      <c r="M8" t="s">
        <v>19</v>
      </c>
      <c r="N8" t="s">
        <v>19</v>
      </c>
      <c r="O8">
        <v>13143639</v>
      </c>
      <c r="P8">
        <v>91004331626332</v>
      </c>
      <c r="Q8" t="s">
        <v>19</v>
      </c>
      <c r="R8" t="s">
        <v>19</v>
      </c>
      <c r="S8" t="s">
        <v>19</v>
      </c>
    </row>
    <row r="9" spans="1:19" x14ac:dyDescent="0.25">
      <c r="A9" s="24">
        <v>46020</v>
      </c>
      <c r="B9">
        <v>551.64</v>
      </c>
      <c r="C9">
        <v>1427138676</v>
      </c>
      <c r="D9" t="s">
        <v>174</v>
      </c>
      <c r="E9" t="s">
        <v>35</v>
      </c>
      <c r="F9" t="s">
        <v>180</v>
      </c>
      <c r="G9" t="s">
        <v>19</v>
      </c>
      <c r="H9" t="s">
        <v>19</v>
      </c>
      <c r="I9" t="s">
        <v>19</v>
      </c>
      <c r="J9">
        <v>13136607</v>
      </c>
      <c r="K9" t="s">
        <v>19</v>
      </c>
      <c r="L9" t="s">
        <v>19</v>
      </c>
      <c r="M9" t="s">
        <v>19</v>
      </c>
      <c r="N9" t="s">
        <v>19</v>
      </c>
      <c r="O9">
        <v>13136607</v>
      </c>
      <c r="P9">
        <v>91004331634063</v>
      </c>
      <c r="Q9" t="s">
        <v>19</v>
      </c>
      <c r="R9" t="s">
        <v>19</v>
      </c>
      <c r="S9" t="s">
        <v>19</v>
      </c>
    </row>
    <row r="10" spans="1:19" x14ac:dyDescent="0.25">
      <c r="A10" s="24">
        <v>46020</v>
      </c>
      <c r="B10">
        <v>327.93</v>
      </c>
      <c r="C10">
        <v>1023044526</v>
      </c>
      <c r="D10" t="s">
        <v>176</v>
      </c>
      <c r="E10" t="s">
        <v>39</v>
      </c>
      <c r="F10" t="s">
        <v>181</v>
      </c>
      <c r="G10" t="s">
        <v>19</v>
      </c>
      <c r="H10" t="s">
        <v>19</v>
      </c>
      <c r="I10" t="s">
        <v>19</v>
      </c>
      <c r="J10">
        <v>13138921</v>
      </c>
      <c r="K10" t="s">
        <v>19</v>
      </c>
      <c r="L10" t="s">
        <v>19</v>
      </c>
      <c r="M10" t="s">
        <v>19</v>
      </c>
      <c r="N10" t="s">
        <v>19</v>
      </c>
      <c r="O10">
        <v>13138921</v>
      </c>
      <c r="P10">
        <v>91004331626573</v>
      </c>
      <c r="Q10" t="s">
        <v>19</v>
      </c>
      <c r="R10" t="s">
        <v>19</v>
      </c>
      <c r="S10" t="s">
        <v>19</v>
      </c>
    </row>
    <row r="11" spans="1:19" x14ac:dyDescent="0.25">
      <c r="A11" s="24">
        <v>46020</v>
      </c>
      <c r="B11">
        <v>341.39</v>
      </c>
      <c r="C11">
        <v>1790866564</v>
      </c>
      <c r="D11" t="s">
        <v>176</v>
      </c>
      <c r="E11" t="s">
        <v>20</v>
      </c>
      <c r="F11" t="s">
        <v>182</v>
      </c>
      <c r="G11" t="s">
        <v>19</v>
      </c>
      <c r="H11" t="s">
        <v>19</v>
      </c>
      <c r="I11" t="s">
        <v>19</v>
      </c>
      <c r="J11">
        <v>13140618</v>
      </c>
      <c r="K11" t="s">
        <v>19</v>
      </c>
      <c r="L11" t="s">
        <v>19</v>
      </c>
      <c r="M11" t="s">
        <v>19</v>
      </c>
      <c r="N11" t="s">
        <v>19</v>
      </c>
      <c r="O11">
        <v>13140618</v>
      </c>
      <c r="P11">
        <v>91004331625313</v>
      </c>
      <c r="Q11" t="s">
        <v>19</v>
      </c>
      <c r="R11" t="s">
        <v>19</v>
      </c>
      <c r="S11" t="s">
        <v>19</v>
      </c>
    </row>
    <row r="12" spans="1:19" x14ac:dyDescent="0.25">
      <c r="A12" s="24">
        <v>46020</v>
      </c>
      <c r="B12">
        <v>367.76</v>
      </c>
      <c r="C12">
        <v>1427138676</v>
      </c>
      <c r="D12" t="s">
        <v>176</v>
      </c>
      <c r="E12" t="s">
        <v>35</v>
      </c>
      <c r="F12" t="s">
        <v>183</v>
      </c>
      <c r="G12" t="s">
        <v>19</v>
      </c>
      <c r="H12" t="s">
        <v>19</v>
      </c>
      <c r="I12" t="s">
        <v>19</v>
      </c>
      <c r="J12">
        <v>13139975</v>
      </c>
      <c r="K12" t="s">
        <v>19</v>
      </c>
      <c r="L12" t="s">
        <v>19</v>
      </c>
      <c r="M12" t="s">
        <v>19</v>
      </c>
      <c r="N12" t="s">
        <v>19</v>
      </c>
      <c r="O12">
        <v>13139975</v>
      </c>
      <c r="P12">
        <v>91004331634926</v>
      </c>
      <c r="Q12" t="s">
        <v>19</v>
      </c>
      <c r="R12" t="s">
        <v>19</v>
      </c>
      <c r="S12" t="s">
        <v>19</v>
      </c>
    </row>
    <row r="13" spans="1:19" x14ac:dyDescent="0.25">
      <c r="A13" s="24">
        <v>46020</v>
      </c>
      <c r="B13">
        <v>658.14</v>
      </c>
      <c r="C13">
        <v>1023044526</v>
      </c>
      <c r="D13" t="s">
        <v>65</v>
      </c>
      <c r="E13" t="s">
        <v>50</v>
      </c>
      <c r="F13" t="s">
        <v>184</v>
      </c>
      <c r="G13" t="s">
        <v>19</v>
      </c>
      <c r="H13" t="s">
        <v>19</v>
      </c>
      <c r="I13" t="s">
        <v>19</v>
      </c>
      <c r="J13">
        <v>100209711142</v>
      </c>
      <c r="K13" t="s">
        <v>19</v>
      </c>
      <c r="L13" t="s">
        <v>19</v>
      </c>
      <c r="M13" t="s">
        <v>19</v>
      </c>
      <c r="N13" t="s">
        <v>19</v>
      </c>
      <c r="O13">
        <v>100209711142</v>
      </c>
      <c r="P13">
        <v>91003834367350</v>
      </c>
      <c r="Q13" t="s">
        <v>19</v>
      </c>
      <c r="R13" t="s">
        <v>19</v>
      </c>
      <c r="S13" t="s">
        <v>19</v>
      </c>
    </row>
    <row r="14" spans="1:19" x14ac:dyDescent="0.25">
      <c r="A14" s="24">
        <v>46020</v>
      </c>
      <c r="B14">
        <v>1281.1500000000001</v>
      </c>
      <c r="C14">
        <v>1790866564</v>
      </c>
      <c r="D14" t="s">
        <v>96</v>
      </c>
      <c r="E14" t="s">
        <v>97</v>
      </c>
      <c r="F14" t="s">
        <v>185</v>
      </c>
      <c r="G14" t="s">
        <v>19</v>
      </c>
      <c r="H14" t="s">
        <v>19</v>
      </c>
      <c r="I14" t="s">
        <v>19</v>
      </c>
      <c r="J14">
        <v>100209711144</v>
      </c>
      <c r="K14" t="s">
        <v>19</v>
      </c>
      <c r="L14" t="s">
        <v>19</v>
      </c>
      <c r="M14" t="s">
        <v>19</v>
      </c>
      <c r="N14" t="s">
        <v>19</v>
      </c>
      <c r="O14">
        <v>100209711144</v>
      </c>
      <c r="P14">
        <v>91003834325815</v>
      </c>
      <c r="Q14" t="s">
        <v>19</v>
      </c>
      <c r="R14" t="s">
        <v>19</v>
      </c>
      <c r="S14" t="s">
        <v>19</v>
      </c>
    </row>
    <row r="15" spans="1:19" x14ac:dyDescent="0.25">
      <c r="A15" s="24">
        <v>46020</v>
      </c>
      <c r="B15">
        <v>30.75</v>
      </c>
      <c r="C15">
        <v>561319745</v>
      </c>
      <c r="D15" t="s">
        <v>69</v>
      </c>
      <c r="E15" t="s">
        <v>47</v>
      </c>
      <c r="F15" t="s">
        <v>186</v>
      </c>
      <c r="G15" t="s">
        <v>19</v>
      </c>
      <c r="H15" t="s">
        <v>19</v>
      </c>
      <c r="I15" t="s">
        <v>19</v>
      </c>
      <c r="J15">
        <v>11099600</v>
      </c>
      <c r="K15" t="s">
        <v>19</v>
      </c>
      <c r="L15" t="s">
        <v>19</v>
      </c>
      <c r="M15" t="s">
        <v>19</v>
      </c>
      <c r="N15" t="s">
        <v>19</v>
      </c>
      <c r="O15">
        <v>11099600</v>
      </c>
      <c r="P15">
        <v>91003835546894</v>
      </c>
      <c r="Q15" t="s">
        <v>19</v>
      </c>
      <c r="R15" t="s">
        <v>19</v>
      </c>
      <c r="S15" t="s">
        <v>19</v>
      </c>
    </row>
    <row r="16" spans="1:19" x14ac:dyDescent="0.25">
      <c r="A16" s="24">
        <v>46020</v>
      </c>
      <c r="B16">
        <v>79.2</v>
      </c>
      <c r="C16">
        <v>550862343</v>
      </c>
      <c r="D16" t="s">
        <v>68</v>
      </c>
      <c r="E16" t="s">
        <v>42</v>
      </c>
      <c r="F16" t="s">
        <v>187</v>
      </c>
      <c r="G16" t="s">
        <v>19</v>
      </c>
      <c r="H16" t="s">
        <v>19</v>
      </c>
      <c r="I16" t="s">
        <v>19</v>
      </c>
      <c r="J16">
        <v>11102553</v>
      </c>
      <c r="K16" t="s">
        <v>19</v>
      </c>
      <c r="L16" t="s">
        <v>19</v>
      </c>
      <c r="M16" t="s">
        <v>19</v>
      </c>
      <c r="N16" t="s">
        <v>19</v>
      </c>
      <c r="O16">
        <v>11102553</v>
      </c>
      <c r="P16">
        <v>91003835606740</v>
      </c>
      <c r="Q16" t="s">
        <v>19</v>
      </c>
      <c r="R16" t="s">
        <v>19</v>
      </c>
      <c r="S16" t="s">
        <v>19</v>
      </c>
    </row>
    <row r="17" spans="1:19" x14ac:dyDescent="0.25">
      <c r="A17" s="24">
        <v>46020</v>
      </c>
      <c r="B17">
        <v>198.99</v>
      </c>
      <c r="C17">
        <v>561319745</v>
      </c>
      <c r="D17" t="s">
        <v>68</v>
      </c>
      <c r="E17" t="s">
        <v>47</v>
      </c>
      <c r="F17" t="s">
        <v>188</v>
      </c>
      <c r="G17" t="s">
        <v>19</v>
      </c>
      <c r="H17" t="s">
        <v>19</v>
      </c>
      <c r="I17" t="s">
        <v>19</v>
      </c>
      <c r="J17">
        <v>384875241615</v>
      </c>
      <c r="K17" t="s">
        <v>19</v>
      </c>
      <c r="L17" t="s">
        <v>19</v>
      </c>
      <c r="M17" t="s">
        <v>19</v>
      </c>
      <c r="N17" t="s">
        <v>19</v>
      </c>
      <c r="O17">
        <v>384875241615</v>
      </c>
      <c r="P17">
        <v>91004338750257</v>
      </c>
      <c r="Q17" t="s">
        <v>19</v>
      </c>
      <c r="R17" t="s">
        <v>19</v>
      </c>
      <c r="S17" t="s">
        <v>19</v>
      </c>
    </row>
    <row r="18" spans="1:19" x14ac:dyDescent="0.25">
      <c r="A18" s="24">
        <v>46020</v>
      </c>
      <c r="B18">
        <v>105.59</v>
      </c>
      <c r="C18">
        <v>550862343</v>
      </c>
      <c r="D18" t="s">
        <v>68</v>
      </c>
      <c r="E18" t="s">
        <v>42</v>
      </c>
      <c r="F18" t="s">
        <v>189</v>
      </c>
      <c r="G18" t="s">
        <v>19</v>
      </c>
      <c r="H18" t="s">
        <v>19</v>
      </c>
      <c r="I18" t="s">
        <v>19</v>
      </c>
      <c r="J18">
        <v>384873772228</v>
      </c>
      <c r="K18" t="s">
        <v>19</v>
      </c>
      <c r="L18" t="s">
        <v>19</v>
      </c>
      <c r="M18" t="s">
        <v>19</v>
      </c>
      <c r="N18" t="s">
        <v>19</v>
      </c>
      <c r="O18">
        <v>384873772228</v>
      </c>
      <c r="P18">
        <v>91004338744502</v>
      </c>
      <c r="Q18" t="s">
        <v>19</v>
      </c>
      <c r="R18" t="s">
        <v>19</v>
      </c>
      <c r="S18" t="s">
        <v>19</v>
      </c>
    </row>
    <row r="19" spans="1:19" x14ac:dyDescent="0.25">
      <c r="A19" s="24">
        <v>46020</v>
      </c>
      <c r="B19">
        <v>130</v>
      </c>
      <c r="C19">
        <v>561319745</v>
      </c>
      <c r="D19" t="s">
        <v>190</v>
      </c>
      <c r="E19" t="s">
        <v>47</v>
      </c>
      <c r="F19" t="s">
        <v>191</v>
      </c>
      <c r="G19" t="s">
        <v>19</v>
      </c>
      <c r="H19" t="s">
        <v>19</v>
      </c>
      <c r="I19" t="s">
        <v>19</v>
      </c>
      <c r="J19">
        <v>384874765078</v>
      </c>
      <c r="K19" t="s">
        <v>19</v>
      </c>
      <c r="L19" t="s">
        <v>19</v>
      </c>
      <c r="M19" t="s">
        <v>19</v>
      </c>
      <c r="N19" t="s">
        <v>19</v>
      </c>
      <c r="O19">
        <v>384874765078</v>
      </c>
      <c r="P19">
        <v>91004338701653</v>
      </c>
      <c r="Q19" t="s">
        <v>19</v>
      </c>
      <c r="R19" t="s">
        <v>19</v>
      </c>
      <c r="S19" t="s">
        <v>19</v>
      </c>
    </row>
    <row r="20" spans="1:19" x14ac:dyDescent="0.25">
      <c r="A20" s="24">
        <v>46020</v>
      </c>
      <c r="B20">
        <v>70.8</v>
      </c>
      <c r="C20">
        <v>561319745</v>
      </c>
      <c r="D20" t="s">
        <v>69</v>
      </c>
      <c r="E20" t="s">
        <v>47</v>
      </c>
      <c r="F20" t="s">
        <v>192</v>
      </c>
      <c r="G20" t="s">
        <v>19</v>
      </c>
      <c r="H20" t="s">
        <v>19</v>
      </c>
      <c r="I20" t="s">
        <v>19</v>
      </c>
      <c r="J20">
        <v>384874738150</v>
      </c>
      <c r="K20" t="s">
        <v>19</v>
      </c>
      <c r="L20" t="s">
        <v>19</v>
      </c>
      <c r="M20" t="s">
        <v>19</v>
      </c>
      <c r="N20" t="s">
        <v>19</v>
      </c>
      <c r="O20">
        <v>384874738150</v>
      </c>
      <c r="P20">
        <v>91004338928271</v>
      </c>
      <c r="Q20" t="s">
        <v>19</v>
      </c>
      <c r="R20" t="s">
        <v>19</v>
      </c>
      <c r="S20" t="s">
        <v>19</v>
      </c>
    </row>
    <row r="21" spans="1:19" x14ac:dyDescent="0.25">
      <c r="A21" s="24">
        <v>46020</v>
      </c>
      <c r="B21">
        <v>16.22</v>
      </c>
      <c r="C21">
        <v>561319745</v>
      </c>
      <c r="D21" t="s">
        <v>123</v>
      </c>
      <c r="E21" t="s">
        <v>39</v>
      </c>
      <c r="F21" t="s">
        <v>193</v>
      </c>
      <c r="G21" t="s">
        <v>19</v>
      </c>
      <c r="H21" t="s">
        <v>19</v>
      </c>
      <c r="I21" t="s">
        <v>19</v>
      </c>
      <c r="J21">
        <v>101128493856</v>
      </c>
      <c r="K21" t="s">
        <v>19</v>
      </c>
      <c r="L21" t="s">
        <v>19</v>
      </c>
      <c r="M21" t="s">
        <v>19</v>
      </c>
      <c r="N21" t="s">
        <v>19</v>
      </c>
      <c r="O21">
        <v>101128493856</v>
      </c>
      <c r="P21">
        <v>91004338157155</v>
      </c>
      <c r="Q21" t="s">
        <v>19</v>
      </c>
      <c r="R21" t="s">
        <v>19</v>
      </c>
      <c r="S21" t="s">
        <v>19</v>
      </c>
    </row>
    <row r="22" spans="1:19" x14ac:dyDescent="0.25">
      <c r="A22" s="24">
        <v>46020</v>
      </c>
      <c r="B22">
        <v>172.71</v>
      </c>
      <c r="C22">
        <v>550862343</v>
      </c>
      <c r="D22" t="s">
        <v>194</v>
      </c>
      <c r="E22" t="s">
        <v>195</v>
      </c>
      <c r="F22" t="s">
        <v>196</v>
      </c>
      <c r="G22" t="s">
        <v>19</v>
      </c>
      <c r="H22" t="s">
        <v>19</v>
      </c>
      <c r="I22" t="s">
        <v>19</v>
      </c>
      <c r="J22">
        <v>101128496888</v>
      </c>
      <c r="K22" t="s">
        <v>19</v>
      </c>
      <c r="L22" t="s">
        <v>19</v>
      </c>
      <c r="M22" t="s">
        <v>19</v>
      </c>
      <c r="N22" t="s">
        <v>19</v>
      </c>
      <c r="O22">
        <v>101128496888</v>
      </c>
      <c r="P22">
        <v>91004338176250</v>
      </c>
      <c r="Q22" t="s">
        <v>19</v>
      </c>
      <c r="R22" t="s">
        <v>19</v>
      </c>
      <c r="S22" t="s">
        <v>19</v>
      </c>
    </row>
    <row r="23" spans="1:19" x14ac:dyDescent="0.25">
      <c r="A23" s="24">
        <v>46020</v>
      </c>
      <c r="B23">
        <v>284.08</v>
      </c>
      <c r="C23">
        <v>550862343</v>
      </c>
      <c r="D23" t="s">
        <v>102</v>
      </c>
      <c r="E23" t="s">
        <v>103</v>
      </c>
      <c r="F23" t="s">
        <v>197</v>
      </c>
      <c r="G23" t="s">
        <v>19</v>
      </c>
      <c r="H23" t="s">
        <v>19</v>
      </c>
      <c r="I23" t="s">
        <v>19</v>
      </c>
      <c r="J23">
        <v>19264238</v>
      </c>
      <c r="K23" t="s">
        <v>19</v>
      </c>
      <c r="L23" t="s">
        <v>19</v>
      </c>
      <c r="M23" t="s">
        <v>19</v>
      </c>
      <c r="N23" t="s">
        <v>19</v>
      </c>
      <c r="O23">
        <v>19264238</v>
      </c>
      <c r="P23">
        <v>91005460294179</v>
      </c>
      <c r="Q23" t="s">
        <v>19</v>
      </c>
      <c r="R23" t="s">
        <v>19</v>
      </c>
      <c r="S23" t="s">
        <v>19</v>
      </c>
    </row>
    <row r="24" spans="1:19" x14ac:dyDescent="0.25">
      <c r="A24" s="24">
        <v>46020</v>
      </c>
      <c r="B24">
        <v>98.7</v>
      </c>
      <c r="C24">
        <v>561883003</v>
      </c>
      <c r="D24" t="s">
        <v>107</v>
      </c>
      <c r="E24" t="s">
        <v>97</v>
      </c>
      <c r="F24" t="s">
        <v>198</v>
      </c>
      <c r="G24" t="s">
        <v>19</v>
      </c>
      <c r="H24" t="s">
        <v>19</v>
      </c>
      <c r="I24" t="s">
        <v>19</v>
      </c>
      <c r="J24">
        <v>19264224</v>
      </c>
      <c r="K24" t="s">
        <v>19</v>
      </c>
      <c r="L24" t="s">
        <v>19</v>
      </c>
      <c r="M24" t="s">
        <v>19</v>
      </c>
      <c r="N24" t="s">
        <v>19</v>
      </c>
      <c r="O24">
        <v>19264224</v>
      </c>
      <c r="P24">
        <v>91005460294566</v>
      </c>
      <c r="Q24" t="s">
        <v>19</v>
      </c>
      <c r="R24" t="s">
        <v>19</v>
      </c>
      <c r="S24" t="s">
        <v>19</v>
      </c>
    </row>
    <row r="25" spans="1:19" x14ac:dyDescent="0.25">
      <c r="A25" s="24"/>
    </row>
    <row r="26" spans="1:19" x14ac:dyDescent="0.25">
      <c r="A26" s="24"/>
    </row>
    <row r="27" spans="1:19" x14ac:dyDescent="0.25">
      <c r="A27" s="24"/>
    </row>
    <row r="28" spans="1:19" x14ac:dyDescent="0.25">
      <c r="A28" s="24"/>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A46B-AEA6-42D4-BC20-EBA40923F3C4}">
  <dimension ref="A1:S6"/>
  <sheetViews>
    <sheetView workbookViewId="0"/>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7109375" bestFit="1" customWidth="1"/>
    <col min="6" max="6" width="27.1406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72</v>
      </c>
      <c r="G1" t="s">
        <v>5</v>
      </c>
      <c r="H1" t="s">
        <v>6</v>
      </c>
      <c r="I1" t="s">
        <v>7</v>
      </c>
      <c r="J1" t="s">
        <v>8</v>
      </c>
      <c r="K1" t="s">
        <v>9</v>
      </c>
      <c r="L1" t="s">
        <v>10</v>
      </c>
      <c r="M1" t="s">
        <v>11</v>
      </c>
      <c r="N1" t="s">
        <v>12</v>
      </c>
      <c r="O1" t="s">
        <v>13</v>
      </c>
      <c r="P1" t="s">
        <v>14</v>
      </c>
      <c r="Q1" t="s">
        <v>15</v>
      </c>
      <c r="R1" t="s">
        <v>16</v>
      </c>
      <c r="S1" t="s">
        <v>17</v>
      </c>
    </row>
    <row r="2" spans="1:19" x14ac:dyDescent="0.25">
      <c r="A2" s="24">
        <v>46017</v>
      </c>
      <c r="B2">
        <v>57.87</v>
      </c>
      <c r="C2">
        <v>1023044526</v>
      </c>
      <c r="D2" t="s">
        <v>70</v>
      </c>
      <c r="E2" t="s">
        <v>39</v>
      </c>
      <c r="F2" t="s">
        <v>199</v>
      </c>
      <c r="G2" t="s">
        <v>19</v>
      </c>
      <c r="H2" t="s">
        <v>19</v>
      </c>
      <c r="I2" t="s">
        <v>19</v>
      </c>
      <c r="J2">
        <v>13842039</v>
      </c>
      <c r="K2" t="s">
        <v>19</v>
      </c>
      <c r="L2" t="s">
        <v>19</v>
      </c>
      <c r="M2" t="s">
        <v>19</v>
      </c>
      <c r="N2" t="s">
        <v>19</v>
      </c>
      <c r="O2">
        <v>13842039</v>
      </c>
      <c r="P2">
        <v>91003738405462</v>
      </c>
      <c r="Q2" t="s">
        <v>19</v>
      </c>
      <c r="R2" t="s">
        <v>19</v>
      </c>
      <c r="S2" t="s">
        <v>19</v>
      </c>
    </row>
    <row r="3" spans="1:19" x14ac:dyDescent="0.25">
      <c r="A3" s="24">
        <v>46017</v>
      </c>
      <c r="B3">
        <v>4994.7299999999996</v>
      </c>
      <c r="C3">
        <v>1790866564</v>
      </c>
      <c r="D3" t="s">
        <v>71</v>
      </c>
      <c r="E3" t="s">
        <v>20</v>
      </c>
      <c r="F3" t="s">
        <v>200</v>
      </c>
      <c r="G3" t="s">
        <v>19</v>
      </c>
      <c r="H3" t="s">
        <v>19</v>
      </c>
      <c r="I3" t="s">
        <v>19</v>
      </c>
      <c r="J3">
        <v>13835459</v>
      </c>
      <c r="K3" t="s">
        <v>19</v>
      </c>
      <c r="L3" t="s">
        <v>19</v>
      </c>
      <c r="M3" t="s">
        <v>19</v>
      </c>
      <c r="N3" t="s">
        <v>19</v>
      </c>
      <c r="O3">
        <v>13835459</v>
      </c>
      <c r="P3">
        <v>91003738411098</v>
      </c>
      <c r="Q3" t="s">
        <v>19</v>
      </c>
      <c r="R3" t="s">
        <v>19</v>
      </c>
      <c r="S3" t="s">
        <v>19</v>
      </c>
    </row>
    <row r="4" spans="1:19" x14ac:dyDescent="0.25">
      <c r="A4" s="24">
        <v>46017</v>
      </c>
      <c r="B4">
        <v>21.02</v>
      </c>
      <c r="C4">
        <v>1023044526</v>
      </c>
      <c r="D4" t="s">
        <v>90</v>
      </c>
      <c r="E4" t="s">
        <v>39</v>
      </c>
      <c r="F4" t="s">
        <v>201</v>
      </c>
      <c r="G4" t="s">
        <v>19</v>
      </c>
      <c r="H4" t="s">
        <v>19</v>
      </c>
      <c r="I4" t="s">
        <v>19</v>
      </c>
      <c r="J4">
        <v>12213563</v>
      </c>
      <c r="K4" t="s">
        <v>19</v>
      </c>
      <c r="L4" t="s">
        <v>19</v>
      </c>
      <c r="M4" t="s">
        <v>19</v>
      </c>
      <c r="N4" t="s">
        <v>19</v>
      </c>
      <c r="O4">
        <v>12213563</v>
      </c>
      <c r="P4">
        <v>91004259325178</v>
      </c>
      <c r="Q4" t="s">
        <v>19</v>
      </c>
      <c r="R4" t="s">
        <v>19</v>
      </c>
      <c r="S4" t="s">
        <v>19</v>
      </c>
    </row>
    <row r="5" spans="1:19" x14ac:dyDescent="0.25">
      <c r="A5" s="24">
        <v>46017</v>
      </c>
      <c r="B5">
        <v>108.24</v>
      </c>
      <c r="C5">
        <v>561319745</v>
      </c>
      <c r="D5" t="s">
        <v>202</v>
      </c>
      <c r="E5" t="s">
        <v>47</v>
      </c>
      <c r="F5" t="s">
        <v>203</v>
      </c>
      <c r="G5" t="s">
        <v>19</v>
      </c>
      <c r="H5" t="s">
        <v>19</v>
      </c>
      <c r="I5" t="s">
        <v>19</v>
      </c>
      <c r="J5">
        <v>384871529721</v>
      </c>
      <c r="K5" t="s">
        <v>19</v>
      </c>
      <c r="L5" t="s">
        <v>19</v>
      </c>
      <c r="M5" t="s">
        <v>19</v>
      </c>
      <c r="N5" t="s">
        <v>19</v>
      </c>
      <c r="O5">
        <v>384871529721</v>
      </c>
      <c r="P5">
        <v>91003939102737</v>
      </c>
      <c r="Q5" t="s">
        <v>19</v>
      </c>
      <c r="R5" t="s">
        <v>19</v>
      </c>
      <c r="S5" t="s">
        <v>19</v>
      </c>
    </row>
    <row r="6" spans="1:19" x14ac:dyDescent="0.25">
      <c r="A6" s="24">
        <v>46017</v>
      </c>
      <c r="B6">
        <v>241.16</v>
      </c>
      <c r="C6">
        <v>561319745</v>
      </c>
      <c r="D6" t="s">
        <v>68</v>
      </c>
      <c r="E6" t="s">
        <v>47</v>
      </c>
      <c r="F6" t="s">
        <v>204</v>
      </c>
      <c r="G6" t="s">
        <v>19</v>
      </c>
      <c r="H6" t="s">
        <v>19</v>
      </c>
      <c r="I6" t="s">
        <v>19</v>
      </c>
      <c r="J6">
        <v>384873409736</v>
      </c>
      <c r="K6" t="s">
        <v>19</v>
      </c>
      <c r="L6" t="s">
        <v>19</v>
      </c>
      <c r="M6" t="s">
        <v>19</v>
      </c>
      <c r="N6" t="s">
        <v>19</v>
      </c>
      <c r="O6">
        <v>384873409736</v>
      </c>
      <c r="P6">
        <v>91003939360451</v>
      </c>
      <c r="Q6" t="s">
        <v>19</v>
      </c>
      <c r="R6" t="s">
        <v>19</v>
      </c>
      <c r="S6" t="s">
        <v>19</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18A70-D926-4F0D-A2F2-87EBE5850E3A}">
  <dimension ref="A1:S15"/>
  <sheetViews>
    <sheetView workbookViewId="0">
      <selection activeCell="F2" sqref="F2:F12"/>
    </sheetView>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7109375" bestFit="1" customWidth="1"/>
    <col min="6" max="6" width="19.425781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207</v>
      </c>
      <c r="G1" t="s">
        <v>5</v>
      </c>
      <c r="H1" t="s">
        <v>6</v>
      </c>
      <c r="I1" t="s">
        <v>7</v>
      </c>
      <c r="J1" t="s">
        <v>8</v>
      </c>
      <c r="K1" t="s">
        <v>9</v>
      </c>
      <c r="L1" t="s">
        <v>10</v>
      </c>
      <c r="M1" t="s">
        <v>11</v>
      </c>
      <c r="N1" t="s">
        <v>12</v>
      </c>
      <c r="O1" t="s">
        <v>13</v>
      </c>
      <c r="P1" t="s">
        <v>14</v>
      </c>
      <c r="Q1" t="s">
        <v>15</v>
      </c>
      <c r="R1" t="s">
        <v>16</v>
      </c>
      <c r="S1" t="s">
        <v>17</v>
      </c>
    </row>
    <row r="2" spans="1:19" x14ac:dyDescent="0.25">
      <c r="A2" s="24">
        <v>46015</v>
      </c>
      <c r="B2">
        <v>85</v>
      </c>
      <c r="C2">
        <v>1023044526</v>
      </c>
      <c r="D2" t="s">
        <v>205</v>
      </c>
      <c r="E2" t="s">
        <v>50</v>
      </c>
      <c r="F2" t="s">
        <v>208</v>
      </c>
      <c r="G2" t="s">
        <v>19</v>
      </c>
      <c r="H2" t="s">
        <v>19</v>
      </c>
      <c r="I2" t="s">
        <v>19</v>
      </c>
      <c r="J2">
        <v>17836175</v>
      </c>
      <c r="K2" t="s">
        <v>19</v>
      </c>
      <c r="L2" t="s">
        <v>19</v>
      </c>
      <c r="M2" t="s">
        <v>19</v>
      </c>
      <c r="N2" t="s">
        <v>19</v>
      </c>
      <c r="O2">
        <v>17836175</v>
      </c>
      <c r="P2">
        <v>91004258469566</v>
      </c>
      <c r="Q2" t="s">
        <v>19</v>
      </c>
      <c r="R2" t="s">
        <v>19</v>
      </c>
      <c r="S2" t="s">
        <v>19</v>
      </c>
    </row>
    <row r="3" spans="1:19" x14ac:dyDescent="0.25">
      <c r="A3" s="24">
        <v>46015</v>
      </c>
      <c r="B3">
        <v>462.56</v>
      </c>
      <c r="C3">
        <v>1982632915</v>
      </c>
      <c r="D3" t="s">
        <v>86</v>
      </c>
      <c r="E3" t="s">
        <v>103</v>
      </c>
      <c r="F3" t="s">
        <v>209</v>
      </c>
      <c r="G3" t="s">
        <v>19</v>
      </c>
      <c r="H3" t="s">
        <v>19</v>
      </c>
      <c r="I3" t="s">
        <v>19</v>
      </c>
      <c r="J3">
        <v>192583997</v>
      </c>
      <c r="K3" t="s">
        <v>19</v>
      </c>
      <c r="L3" t="s">
        <v>19</v>
      </c>
      <c r="M3" t="s">
        <v>19</v>
      </c>
      <c r="N3" t="s">
        <v>19</v>
      </c>
      <c r="O3">
        <v>192583997</v>
      </c>
      <c r="P3">
        <v>91004353067418</v>
      </c>
      <c r="Q3" t="s">
        <v>19</v>
      </c>
      <c r="R3" t="s">
        <v>19</v>
      </c>
      <c r="S3" t="s">
        <v>19</v>
      </c>
    </row>
    <row r="4" spans="1:19" x14ac:dyDescent="0.25">
      <c r="A4" s="24">
        <v>46015</v>
      </c>
      <c r="B4">
        <v>288.19</v>
      </c>
      <c r="C4">
        <v>1023044526</v>
      </c>
      <c r="D4" t="s">
        <v>127</v>
      </c>
      <c r="E4" t="s">
        <v>50</v>
      </c>
      <c r="F4" t="s">
        <v>210</v>
      </c>
      <c r="G4" t="s">
        <v>19</v>
      </c>
      <c r="H4" t="s">
        <v>19</v>
      </c>
      <c r="I4" t="s">
        <v>19</v>
      </c>
      <c r="J4">
        <v>192585917</v>
      </c>
      <c r="K4" t="s">
        <v>19</v>
      </c>
      <c r="L4" t="s">
        <v>19</v>
      </c>
      <c r="M4" t="s">
        <v>19</v>
      </c>
      <c r="N4" t="s">
        <v>19</v>
      </c>
      <c r="O4">
        <v>192585917</v>
      </c>
      <c r="P4">
        <v>91004353031714</v>
      </c>
      <c r="Q4" t="s">
        <v>19</v>
      </c>
      <c r="R4" t="s">
        <v>19</v>
      </c>
      <c r="S4" t="s">
        <v>19</v>
      </c>
    </row>
    <row r="5" spans="1:19" x14ac:dyDescent="0.25">
      <c r="A5" s="24">
        <v>46015</v>
      </c>
      <c r="B5">
        <v>136.02000000000001</v>
      </c>
      <c r="C5">
        <v>1023044526</v>
      </c>
      <c r="D5" t="s">
        <v>86</v>
      </c>
      <c r="E5" t="s">
        <v>87</v>
      </c>
      <c r="F5" t="s">
        <v>211</v>
      </c>
      <c r="G5" t="s">
        <v>19</v>
      </c>
      <c r="H5" t="s">
        <v>19</v>
      </c>
      <c r="I5" t="s">
        <v>19</v>
      </c>
      <c r="J5">
        <v>15036959</v>
      </c>
      <c r="K5" t="s">
        <v>19</v>
      </c>
      <c r="L5" t="s">
        <v>19</v>
      </c>
      <c r="M5" t="s">
        <v>19</v>
      </c>
      <c r="N5" t="s">
        <v>19</v>
      </c>
      <c r="O5">
        <v>15036959</v>
      </c>
      <c r="P5">
        <v>91003856388071</v>
      </c>
      <c r="Q5" t="s">
        <v>19</v>
      </c>
      <c r="R5" t="s">
        <v>19</v>
      </c>
      <c r="S5" t="s">
        <v>19</v>
      </c>
    </row>
    <row r="6" spans="1:19" x14ac:dyDescent="0.25">
      <c r="A6" s="24">
        <v>46015</v>
      </c>
      <c r="B6">
        <v>68.010000000000005</v>
      </c>
      <c r="C6">
        <v>1023044526</v>
      </c>
      <c r="D6" t="s">
        <v>86</v>
      </c>
      <c r="E6" t="s">
        <v>87</v>
      </c>
      <c r="F6" t="s">
        <v>212</v>
      </c>
      <c r="G6" t="s">
        <v>19</v>
      </c>
      <c r="H6" t="s">
        <v>19</v>
      </c>
      <c r="I6" t="s">
        <v>19</v>
      </c>
      <c r="J6">
        <v>12189396</v>
      </c>
      <c r="K6" t="s">
        <v>19</v>
      </c>
      <c r="L6" t="s">
        <v>19</v>
      </c>
      <c r="M6" t="s">
        <v>19</v>
      </c>
      <c r="N6" t="s">
        <v>19</v>
      </c>
      <c r="O6">
        <v>12189396</v>
      </c>
      <c r="P6">
        <v>91004353029515</v>
      </c>
      <c r="Q6" t="s">
        <v>19</v>
      </c>
      <c r="R6" t="s">
        <v>19</v>
      </c>
      <c r="S6" t="s">
        <v>19</v>
      </c>
    </row>
    <row r="7" spans="1:19" x14ac:dyDescent="0.25">
      <c r="A7" s="24">
        <v>46015</v>
      </c>
      <c r="B7">
        <v>505.03</v>
      </c>
      <c r="C7">
        <v>1023044526</v>
      </c>
      <c r="D7" t="s">
        <v>150</v>
      </c>
      <c r="E7" t="s">
        <v>39</v>
      </c>
      <c r="F7" t="s">
        <v>213</v>
      </c>
      <c r="G7" t="s">
        <v>19</v>
      </c>
      <c r="H7" t="s">
        <v>19</v>
      </c>
      <c r="I7" t="s">
        <v>19</v>
      </c>
      <c r="J7">
        <v>15169238</v>
      </c>
      <c r="K7" t="s">
        <v>19</v>
      </c>
      <c r="L7" t="s">
        <v>19</v>
      </c>
      <c r="M7" t="s">
        <v>19</v>
      </c>
      <c r="N7" t="s">
        <v>19</v>
      </c>
      <c r="O7">
        <v>15169238</v>
      </c>
      <c r="P7">
        <v>91004258176153</v>
      </c>
      <c r="Q7" t="s">
        <v>19</v>
      </c>
      <c r="R7" t="s">
        <v>19</v>
      </c>
      <c r="S7" t="s">
        <v>19</v>
      </c>
    </row>
    <row r="8" spans="1:19" x14ac:dyDescent="0.25">
      <c r="A8" s="24">
        <v>46015</v>
      </c>
      <c r="B8">
        <v>7869.11</v>
      </c>
      <c r="C8">
        <v>1790866564</v>
      </c>
      <c r="D8" t="s">
        <v>71</v>
      </c>
      <c r="E8" t="s">
        <v>20</v>
      </c>
      <c r="F8" t="s">
        <v>214</v>
      </c>
      <c r="G8" t="s">
        <v>19</v>
      </c>
      <c r="H8" t="s">
        <v>19</v>
      </c>
      <c r="I8" t="s">
        <v>19</v>
      </c>
      <c r="J8">
        <v>15172921</v>
      </c>
      <c r="K8" t="s">
        <v>19</v>
      </c>
      <c r="L8" t="s">
        <v>19</v>
      </c>
      <c r="M8" t="s">
        <v>19</v>
      </c>
      <c r="N8" t="s">
        <v>19</v>
      </c>
      <c r="O8">
        <v>15172921</v>
      </c>
      <c r="P8">
        <v>91004258167765</v>
      </c>
      <c r="Q8" t="s">
        <v>19</v>
      </c>
      <c r="R8" t="s">
        <v>19</v>
      </c>
      <c r="S8" t="s">
        <v>19</v>
      </c>
    </row>
    <row r="9" spans="1:19" x14ac:dyDescent="0.25">
      <c r="A9" s="24">
        <v>46015</v>
      </c>
      <c r="B9">
        <v>248.74</v>
      </c>
      <c r="C9">
        <v>1427138676</v>
      </c>
      <c r="D9" t="s">
        <v>70</v>
      </c>
      <c r="E9" t="s">
        <v>35</v>
      </c>
      <c r="F9" t="s">
        <v>215</v>
      </c>
      <c r="G9" t="s">
        <v>19</v>
      </c>
      <c r="H9" t="s">
        <v>19</v>
      </c>
      <c r="I9" t="s">
        <v>19</v>
      </c>
      <c r="J9">
        <v>11226687</v>
      </c>
      <c r="K9" t="s">
        <v>19</v>
      </c>
      <c r="L9" t="s">
        <v>19</v>
      </c>
      <c r="M9" t="s">
        <v>19</v>
      </c>
      <c r="N9" t="s">
        <v>19</v>
      </c>
      <c r="O9">
        <v>11226687</v>
      </c>
      <c r="P9">
        <v>91003851145683</v>
      </c>
      <c r="Q9" t="s">
        <v>19</v>
      </c>
      <c r="R9" t="s">
        <v>19</v>
      </c>
      <c r="S9" t="s">
        <v>19</v>
      </c>
    </row>
    <row r="10" spans="1:19" x14ac:dyDescent="0.25">
      <c r="A10" s="24">
        <v>46015</v>
      </c>
      <c r="B10">
        <v>401.24</v>
      </c>
      <c r="C10">
        <v>550862343</v>
      </c>
      <c r="D10" t="s">
        <v>68</v>
      </c>
      <c r="E10" t="s">
        <v>42</v>
      </c>
      <c r="F10" t="s">
        <v>216</v>
      </c>
      <c r="G10" t="s">
        <v>19</v>
      </c>
      <c r="H10" t="s">
        <v>19</v>
      </c>
      <c r="I10" t="s">
        <v>19</v>
      </c>
      <c r="J10">
        <v>384870812732</v>
      </c>
      <c r="K10" t="s">
        <v>19</v>
      </c>
      <c r="L10" t="s">
        <v>19</v>
      </c>
      <c r="M10" t="s">
        <v>19</v>
      </c>
      <c r="N10" t="s">
        <v>19</v>
      </c>
      <c r="O10">
        <v>384870812732</v>
      </c>
      <c r="P10">
        <v>91004554546232</v>
      </c>
      <c r="Q10" t="s">
        <v>19</v>
      </c>
      <c r="R10" t="s">
        <v>19</v>
      </c>
      <c r="S10" t="s">
        <v>19</v>
      </c>
    </row>
    <row r="11" spans="1:19" x14ac:dyDescent="0.25">
      <c r="A11" s="24">
        <v>46015</v>
      </c>
      <c r="B11">
        <v>2012.96</v>
      </c>
      <c r="C11">
        <v>550862343</v>
      </c>
      <c r="D11" t="s">
        <v>206</v>
      </c>
      <c r="E11" t="s">
        <v>103</v>
      </c>
      <c r="F11" t="s">
        <v>217</v>
      </c>
      <c r="G11" t="s">
        <v>19</v>
      </c>
      <c r="H11" t="s">
        <v>19</v>
      </c>
      <c r="I11" t="s">
        <v>19</v>
      </c>
      <c r="J11">
        <v>15457291</v>
      </c>
      <c r="K11" t="s">
        <v>19</v>
      </c>
      <c r="L11" t="s">
        <v>19</v>
      </c>
      <c r="M11" t="s">
        <v>19</v>
      </c>
      <c r="N11" t="s">
        <v>19</v>
      </c>
      <c r="O11">
        <v>15457291</v>
      </c>
      <c r="P11">
        <v>91003732709748</v>
      </c>
      <c r="Q11" t="s">
        <v>19</v>
      </c>
      <c r="R11" t="s">
        <v>19</v>
      </c>
      <c r="S11" t="s">
        <v>19</v>
      </c>
    </row>
    <row r="12" spans="1:19" x14ac:dyDescent="0.25">
      <c r="A12" s="24">
        <v>46015</v>
      </c>
      <c r="B12">
        <v>99.16</v>
      </c>
      <c r="C12">
        <v>561883003</v>
      </c>
      <c r="D12" t="s">
        <v>139</v>
      </c>
      <c r="E12" t="s">
        <v>97</v>
      </c>
      <c r="F12" t="s">
        <v>218</v>
      </c>
      <c r="G12" t="s">
        <v>19</v>
      </c>
      <c r="H12" t="s">
        <v>19</v>
      </c>
      <c r="I12" t="s">
        <v>19</v>
      </c>
      <c r="J12">
        <v>15457284</v>
      </c>
      <c r="K12" t="s">
        <v>19</v>
      </c>
      <c r="L12" t="s">
        <v>19</v>
      </c>
      <c r="M12" t="s">
        <v>19</v>
      </c>
      <c r="N12" t="s">
        <v>19</v>
      </c>
      <c r="O12">
        <v>15457284</v>
      </c>
      <c r="P12">
        <v>91003732852285</v>
      </c>
      <c r="Q12" t="s">
        <v>19</v>
      </c>
      <c r="R12" t="s">
        <v>19</v>
      </c>
      <c r="S12" t="s">
        <v>19</v>
      </c>
    </row>
    <row r="13" spans="1:19" x14ac:dyDescent="0.25">
      <c r="A13" s="24"/>
    </row>
    <row r="14" spans="1:19" x14ac:dyDescent="0.25">
      <c r="A14" s="24"/>
    </row>
    <row r="15" spans="1:19" x14ac:dyDescent="0.25">
      <c r="A15" s="24"/>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3C5A-E058-4255-9DE6-19469273D561}">
  <dimension ref="A1:S17"/>
  <sheetViews>
    <sheetView workbookViewId="0"/>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7109375" bestFit="1" customWidth="1"/>
    <col min="6" max="6" width="27.1406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72</v>
      </c>
      <c r="G1" t="s">
        <v>5</v>
      </c>
      <c r="H1" t="s">
        <v>6</v>
      </c>
      <c r="I1" t="s">
        <v>7</v>
      </c>
      <c r="J1" t="s">
        <v>8</v>
      </c>
      <c r="K1" t="s">
        <v>9</v>
      </c>
      <c r="L1" t="s">
        <v>10</v>
      </c>
      <c r="M1" t="s">
        <v>11</v>
      </c>
      <c r="N1" t="s">
        <v>12</v>
      </c>
      <c r="O1" t="s">
        <v>13</v>
      </c>
      <c r="P1" t="s">
        <v>14</v>
      </c>
      <c r="Q1" t="s">
        <v>15</v>
      </c>
      <c r="R1" t="s">
        <v>16</v>
      </c>
      <c r="S1" t="s">
        <v>17</v>
      </c>
    </row>
    <row r="2" spans="1:19" x14ac:dyDescent="0.25">
      <c r="A2" s="24">
        <v>46014</v>
      </c>
      <c r="B2">
        <v>133.09</v>
      </c>
      <c r="C2">
        <v>1023044526</v>
      </c>
      <c r="D2" t="s">
        <v>109</v>
      </c>
      <c r="E2" t="s">
        <v>50</v>
      </c>
      <c r="F2" t="s">
        <v>110</v>
      </c>
      <c r="G2" t="s">
        <v>19</v>
      </c>
      <c r="H2" t="s">
        <v>19</v>
      </c>
      <c r="I2" t="s">
        <v>19</v>
      </c>
      <c r="J2">
        <v>50799076</v>
      </c>
      <c r="K2" t="s">
        <v>19</v>
      </c>
      <c r="L2" t="s">
        <v>19</v>
      </c>
      <c r="M2" t="s">
        <v>19</v>
      </c>
      <c r="N2" t="s">
        <v>19</v>
      </c>
      <c r="O2">
        <v>50799076</v>
      </c>
      <c r="P2">
        <v>91003854205673</v>
      </c>
      <c r="Q2" t="s">
        <v>19</v>
      </c>
      <c r="R2" t="s">
        <v>19</v>
      </c>
      <c r="S2" t="s">
        <v>19</v>
      </c>
    </row>
    <row r="3" spans="1:19" x14ac:dyDescent="0.25">
      <c r="A3" s="24">
        <v>46014</v>
      </c>
      <c r="B3">
        <v>289.10000000000002</v>
      </c>
      <c r="C3">
        <v>1982632915</v>
      </c>
      <c r="D3" t="s">
        <v>86</v>
      </c>
      <c r="E3" t="s">
        <v>103</v>
      </c>
      <c r="F3" t="s">
        <v>111</v>
      </c>
      <c r="G3" t="s">
        <v>19</v>
      </c>
      <c r="H3" t="s">
        <v>19</v>
      </c>
      <c r="I3" t="s">
        <v>19</v>
      </c>
      <c r="J3">
        <v>17360707</v>
      </c>
      <c r="K3" t="s">
        <v>19</v>
      </c>
      <c r="L3" t="s">
        <v>19</v>
      </c>
      <c r="M3" t="s">
        <v>19</v>
      </c>
      <c r="N3" t="s">
        <v>19</v>
      </c>
      <c r="O3">
        <v>17360707</v>
      </c>
      <c r="P3">
        <v>91006167913497</v>
      </c>
      <c r="Q3" t="s">
        <v>19</v>
      </c>
      <c r="R3" t="s">
        <v>19</v>
      </c>
      <c r="S3" t="s">
        <v>19</v>
      </c>
    </row>
    <row r="4" spans="1:19" x14ac:dyDescent="0.25">
      <c r="A4" s="24">
        <v>46014</v>
      </c>
      <c r="B4">
        <v>104.5</v>
      </c>
      <c r="C4">
        <v>1023044526</v>
      </c>
      <c r="D4" t="s">
        <v>112</v>
      </c>
      <c r="E4" t="s">
        <v>87</v>
      </c>
      <c r="F4" t="s">
        <v>113</v>
      </c>
      <c r="G4" t="s">
        <v>19</v>
      </c>
      <c r="H4" t="s">
        <v>19</v>
      </c>
      <c r="I4" t="s">
        <v>19</v>
      </c>
      <c r="J4">
        <v>17515614</v>
      </c>
      <c r="K4" t="s">
        <v>19</v>
      </c>
      <c r="L4" t="s">
        <v>19</v>
      </c>
      <c r="M4" t="s">
        <v>19</v>
      </c>
      <c r="N4" t="s">
        <v>19</v>
      </c>
      <c r="O4">
        <v>17515614</v>
      </c>
      <c r="P4">
        <v>91006167958350</v>
      </c>
      <c r="Q4" t="s">
        <v>19</v>
      </c>
      <c r="R4" t="s">
        <v>19</v>
      </c>
      <c r="S4" t="s">
        <v>19</v>
      </c>
    </row>
    <row r="5" spans="1:19" x14ac:dyDescent="0.25">
      <c r="A5" s="24">
        <v>46014</v>
      </c>
      <c r="B5">
        <v>23.85</v>
      </c>
      <c r="C5">
        <v>1790866564</v>
      </c>
      <c r="D5" t="s">
        <v>71</v>
      </c>
      <c r="E5" t="s">
        <v>20</v>
      </c>
      <c r="F5" t="s">
        <v>114</v>
      </c>
      <c r="G5" t="s">
        <v>19</v>
      </c>
      <c r="H5" t="s">
        <v>19</v>
      </c>
      <c r="I5" t="s">
        <v>19</v>
      </c>
      <c r="J5">
        <v>11483300</v>
      </c>
      <c r="K5" t="s">
        <v>19</v>
      </c>
      <c r="L5" t="s">
        <v>19</v>
      </c>
      <c r="M5" t="s">
        <v>19</v>
      </c>
      <c r="N5" t="s">
        <v>19</v>
      </c>
      <c r="O5">
        <v>11483300</v>
      </c>
      <c r="P5">
        <v>91006362234052</v>
      </c>
      <c r="Q5" t="s">
        <v>19</v>
      </c>
      <c r="R5" t="s">
        <v>19</v>
      </c>
      <c r="S5" t="s">
        <v>19</v>
      </c>
    </row>
    <row r="6" spans="1:19" x14ac:dyDescent="0.25">
      <c r="A6" s="24">
        <v>46014</v>
      </c>
      <c r="B6">
        <v>172.69</v>
      </c>
      <c r="C6">
        <v>1023044526</v>
      </c>
      <c r="D6" t="s">
        <v>90</v>
      </c>
      <c r="E6" t="s">
        <v>39</v>
      </c>
      <c r="F6" t="s">
        <v>115</v>
      </c>
      <c r="G6" t="s">
        <v>19</v>
      </c>
      <c r="H6" t="s">
        <v>19</v>
      </c>
      <c r="I6" t="s">
        <v>19</v>
      </c>
      <c r="J6">
        <v>11480531</v>
      </c>
      <c r="K6" t="s">
        <v>19</v>
      </c>
      <c r="L6" t="s">
        <v>19</v>
      </c>
      <c r="M6" t="s">
        <v>19</v>
      </c>
      <c r="N6" t="s">
        <v>19</v>
      </c>
      <c r="O6">
        <v>11480531</v>
      </c>
      <c r="P6">
        <v>91006362229240</v>
      </c>
      <c r="Q6" t="s">
        <v>19</v>
      </c>
      <c r="R6" t="s">
        <v>19</v>
      </c>
      <c r="S6" t="s">
        <v>19</v>
      </c>
    </row>
    <row r="7" spans="1:19" x14ac:dyDescent="0.25">
      <c r="A7" s="24">
        <v>46014</v>
      </c>
      <c r="B7">
        <v>12.55</v>
      </c>
      <c r="C7">
        <v>1023044526</v>
      </c>
      <c r="D7" t="s">
        <v>70</v>
      </c>
      <c r="E7" t="s">
        <v>39</v>
      </c>
      <c r="F7" t="s">
        <v>116</v>
      </c>
      <c r="G7" t="s">
        <v>19</v>
      </c>
      <c r="H7" t="s">
        <v>19</v>
      </c>
      <c r="I7" t="s">
        <v>19</v>
      </c>
      <c r="J7">
        <v>11588253</v>
      </c>
      <c r="K7" t="s">
        <v>19</v>
      </c>
      <c r="L7" t="s">
        <v>19</v>
      </c>
      <c r="M7" t="s">
        <v>19</v>
      </c>
      <c r="N7" t="s">
        <v>19</v>
      </c>
      <c r="O7">
        <v>11588253</v>
      </c>
      <c r="P7">
        <v>91006363417739</v>
      </c>
      <c r="Q7" t="s">
        <v>19</v>
      </c>
      <c r="R7" t="s">
        <v>19</v>
      </c>
      <c r="S7" t="s">
        <v>19</v>
      </c>
    </row>
    <row r="8" spans="1:19" x14ac:dyDescent="0.25">
      <c r="A8" s="24">
        <v>46014</v>
      </c>
      <c r="B8">
        <v>124.8</v>
      </c>
      <c r="C8">
        <v>1023044526</v>
      </c>
      <c r="D8" t="s">
        <v>65</v>
      </c>
      <c r="E8" t="s">
        <v>50</v>
      </c>
      <c r="F8" t="s">
        <v>117</v>
      </c>
      <c r="G8" t="s">
        <v>19</v>
      </c>
      <c r="H8" t="s">
        <v>19</v>
      </c>
      <c r="I8" t="s">
        <v>19</v>
      </c>
      <c r="J8">
        <v>100209977457</v>
      </c>
      <c r="K8" t="s">
        <v>19</v>
      </c>
      <c r="L8" t="s">
        <v>19</v>
      </c>
      <c r="M8" t="s">
        <v>19</v>
      </c>
      <c r="N8" t="s">
        <v>19</v>
      </c>
      <c r="O8">
        <v>100209977457</v>
      </c>
      <c r="P8">
        <v>91003858022236</v>
      </c>
      <c r="Q8" t="s">
        <v>19</v>
      </c>
      <c r="R8" t="s">
        <v>19</v>
      </c>
      <c r="S8" t="s">
        <v>19</v>
      </c>
    </row>
    <row r="9" spans="1:19" x14ac:dyDescent="0.25">
      <c r="A9" s="24">
        <v>46014</v>
      </c>
      <c r="B9">
        <v>682.87</v>
      </c>
      <c r="C9">
        <v>1790866564</v>
      </c>
      <c r="D9" t="s">
        <v>96</v>
      </c>
      <c r="E9" t="s">
        <v>97</v>
      </c>
      <c r="F9" t="s">
        <v>118</v>
      </c>
      <c r="G9" t="s">
        <v>19</v>
      </c>
      <c r="H9" t="s">
        <v>19</v>
      </c>
      <c r="I9" t="s">
        <v>19</v>
      </c>
      <c r="J9">
        <v>100209977459</v>
      </c>
      <c r="K9" t="s">
        <v>19</v>
      </c>
      <c r="L9" t="s">
        <v>19</v>
      </c>
      <c r="M9" t="s">
        <v>19</v>
      </c>
      <c r="N9" t="s">
        <v>19</v>
      </c>
      <c r="O9">
        <v>100209977459</v>
      </c>
      <c r="P9">
        <v>91003858066164</v>
      </c>
      <c r="Q9" t="s">
        <v>19</v>
      </c>
      <c r="R9" t="s">
        <v>19</v>
      </c>
      <c r="S9" t="s">
        <v>19</v>
      </c>
    </row>
    <row r="10" spans="1:19" x14ac:dyDescent="0.25">
      <c r="A10" s="24">
        <v>46014</v>
      </c>
      <c r="B10">
        <v>67.680000000000007</v>
      </c>
      <c r="C10">
        <v>561319745</v>
      </c>
      <c r="D10" t="s">
        <v>68</v>
      </c>
      <c r="E10" t="s">
        <v>47</v>
      </c>
      <c r="F10" t="s">
        <v>119</v>
      </c>
      <c r="G10" t="s">
        <v>19</v>
      </c>
      <c r="H10" t="s">
        <v>19</v>
      </c>
      <c r="I10" t="s">
        <v>19</v>
      </c>
      <c r="J10">
        <v>16224433</v>
      </c>
      <c r="K10" t="s">
        <v>19</v>
      </c>
      <c r="L10" t="s">
        <v>19</v>
      </c>
      <c r="M10" t="s">
        <v>19</v>
      </c>
      <c r="N10" t="s">
        <v>19</v>
      </c>
      <c r="O10">
        <v>16224433</v>
      </c>
      <c r="P10">
        <v>91003857663256</v>
      </c>
      <c r="Q10" t="s">
        <v>19</v>
      </c>
      <c r="R10" t="s">
        <v>19</v>
      </c>
      <c r="S10" t="s">
        <v>19</v>
      </c>
    </row>
    <row r="11" spans="1:19" x14ac:dyDescent="0.25">
      <c r="A11" s="24">
        <v>46014</v>
      </c>
      <c r="B11">
        <v>186.18</v>
      </c>
      <c r="C11">
        <v>550862343</v>
      </c>
      <c r="D11" t="s">
        <v>68</v>
      </c>
      <c r="E11" t="s">
        <v>42</v>
      </c>
      <c r="F11" t="s">
        <v>120</v>
      </c>
      <c r="G11" t="s">
        <v>19</v>
      </c>
      <c r="H11" t="s">
        <v>19</v>
      </c>
      <c r="I11" t="s">
        <v>19</v>
      </c>
      <c r="J11">
        <v>384877462880</v>
      </c>
      <c r="K11" t="s">
        <v>19</v>
      </c>
      <c r="L11" t="s">
        <v>19</v>
      </c>
      <c r="M11" t="s">
        <v>19</v>
      </c>
      <c r="N11" t="s">
        <v>19</v>
      </c>
      <c r="O11">
        <v>384877462880</v>
      </c>
      <c r="P11">
        <v>91004055788391</v>
      </c>
      <c r="Q11" t="s">
        <v>19</v>
      </c>
      <c r="R11" t="s">
        <v>19</v>
      </c>
      <c r="S11" t="s">
        <v>19</v>
      </c>
    </row>
    <row r="12" spans="1:19" x14ac:dyDescent="0.25">
      <c r="A12" s="24">
        <v>46014</v>
      </c>
      <c r="B12">
        <v>105.59</v>
      </c>
      <c r="C12">
        <v>550862343</v>
      </c>
      <c r="D12" t="s">
        <v>67</v>
      </c>
      <c r="E12" t="s">
        <v>42</v>
      </c>
      <c r="F12" t="s">
        <v>121</v>
      </c>
      <c r="G12" t="s">
        <v>19</v>
      </c>
      <c r="H12" t="s">
        <v>19</v>
      </c>
      <c r="I12" t="s">
        <v>19</v>
      </c>
      <c r="J12">
        <v>384877518226</v>
      </c>
      <c r="K12" t="s">
        <v>19</v>
      </c>
      <c r="L12" t="s">
        <v>19</v>
      </c>
      <c r="M12" t="s">
        <v>19</v>
      </c>
      <c r="N12" t="s">
        <v>19</v>
      </c>
      <c r="O12">
        <v>384877518226</v>
      </c>
      <c r="P12">
        <v>91004055645668</v>
      </c>
      <c r="Q12" t="s">
        <v>19</v>
      </c>
      <c r="R12" t="s">
        <v>19</v>
      </c>
      <c r="S12" t="s">
        <v>19</v>
      </c>
    </row>
    <row r="13" spans="1:19" x14ac:dyDescent="0.25">
      <c r="A13" s="24">
        <v>46014</v>
      </c>
      <c r="B13">
        <v>198.99</v>
      </c>
      <c r="C13">
        <v>561319745</v>
      </c>
      <c r="D13" t="s">
        <v>68</v>
      </c>
      <c r="E13" t="s">
        <v>47</v>
      </c>
      <c r="F13" t="s">
        <v>122</v>
      </c>
      <c r="G13" t="s">
        <v>19</v>
      </c>
      <c r="H13" t="s">
        <v>19</v>
      </c>
      <c r="I13" t="s">
        <v>19</v>
      </c>
      <c r="J13">
        <v>384878284349</v>
      </c>
      <c r="K13" t="s">
        <v>19</v>
      </c>
      <c r="L13" t="s">
        <v>19</v>
      </c>
      <c r="M13" t="s">
        <v>19</v>
      </c>
      <c r="N13" t="s">
        <v>19</v>
      </c>
      <c r="O13">
        <v>384878284349</v>
      </c>
      <c r="P13">
        <v>91004055770078</v>
      </c>
      <c r="Q13" t="s">
        <v>19</v>
      </c>
      <c r="R13" t="s">
        <v>19</v>
      </c>
      <c r="S13" t="s">
        <v>19</v>
      </c>
    </row>
    <row r="14" spans="1:19" x14ac:dyDescent="0.25">
      <c r="A14" s="24">
        <v>46014</v>
      </c>
      <c r="B14">
        <v>30.75</v>
      </c>
      <c r="C14">
        <v>1023044526</v>
      </c>
      <c r="D14" t="s">
        <v>123</v>
      </c>
      <c r="E14" t="s">
        <v>39</v>
      </c>
      <c r="F14" t="s">
        <v>124</v>
      </c>
      <c r="G14" t="s">
        <v>19</v>
      </c>
      <c r="H14" t="s">
        <v>19</v>
      </c>
      <c r="I14" t="s">
        <v>19</v>
      </c>
      <c r="J14">
        <v>101127707843</v>
      </c>
      <c r="K14" t="s">
        <v>19</v>
      </c>
      <c r="L14" t="s">
        <v>19</v>
      </c>
      <c r="M14" t="s">
        <v>19</v>
      </c>
      <c r="N14" t="s">
        <v>19</v>
      </c>
      <c r="O14">
        <v>101127707843</v>
      </c>
      <c r="P14">
        <v>91003854263420</v>
      </c>
      <c r="Q14" t="s">
        <v>19</v>
      </c>
      <c r="R14" t="s">
        <v>19</v>
      </c>
      <c r="S14" t="s">
        <v>19</v>
      </c>
    </row>
    <row r="15" spans="1:19" x14ac:dyDescent="0.25">
      <c r="A15" s="24">
        <v>46014</v>
      </c>
      <c r="B15">
        <v>230.31</v>
      </c>
      <c r="C15">
        <v>180744</v>
      </c>
      <c r="D15" t="s">
        <v>125</v>
      </c>
      <c r="E15" t="s">
        <v>35</v>
      </c>
      <c r="F15" t="s">
        <v>126</v>
      </c>
      <c r="G15" t="s">
        <v>19</v>
      </c>
      <c r="H15" t="s">
        <v>19</v>
      </c>
      <c r="I15" t="s">
        <v>19</v>
      </c>
      <c r="J15">
        <v>16987978</v>
      </c>
      <c r="K15" t="s">
        <v>19</v>
      </c>
      <c r="L15" t="s">
        <v>19</v>
      </c>
      <c r="M15" t="s">
        <v>19</v>
      </c>
      <c r="N15" t="s">
        <v>19</v>
      </c>
      <c r="O15">
        <v>16987978</v>
      </c>
      <c r="P15">
        <v>91004256841269</v>
      </c>
      <c r="Q15" t="s">
        <v>19</v>
      </c>
      <c r="R15" t="s">
        <v>19</v>
      </c>
      <c r="S15" t="s">
        <v>19</v>
      </c>
    </row>
    <row r="16" spans="1:19" x14ac:dyDescent="0.25">
      <c r="A16" s="24"/>
    </row>
    <row r="17" spans="1:1" x14ac:dyDescent="0.25">
      <c r="A17" s="24"/>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4718-D69A-4A73-A218-333B9538D0F3}">
  <dimension ref="A1:S24"/>
  <sheetViews>
    <sheetView workbookViewId="0"/>
  </sheetViews>
  <sheetFormatPr defaultRowHeight="15" x14ac:dyDescent="0.25"/>
  <cols>
    <col min="1" max="1" width="12.7109375" bestFit="1" customWidth="1"/>
    <col min="2" max="2" width="16.5703125" bestFit="1" customWidth="1"/>
    <col min="3" max="3" width="14.42578125" bestFit="1" customWidth="1"/>
    <col min="4" max="4" width="25.7109375" bestFit="1" customWidth="1"/>
    <col min="5" max="5" width="24.42578125" bestFit="1" customWidth="1"/>
    <col min="6" max="6" width="27.140625" bestFit="1" customWidth="1"/>
    <col min="7" max="7" width="13" bestFit="1" customWidth="1"/>
    <col min="8" max="8" width="25.140625" bestFit="1" customWidth="1"/>
    <col min="9" max="9" width="23" bestFit="1" customWidth="1"/>
    <col min="10" max="10" width="17.5703125" bestFit="1" customWidth="1"/>
    <col min="11" max="11" width="19.140625" bestFit="1" customWidth="1"/>
    <col min="12" max="12" width="22" bestFit="1" customWidth="1"/>
    <col min="13" max="13" width="18.5703125" bestFit="1" customWidth="1"/>
    <col min="14" max="14" width="17.85546875" bestFit="1" customWidth="1"/>
    <col min="15" max="15" width="16" bestFit="1" customWidth="1"/>
    <col min="16" max="16" width="12.140625" bestFit="1" customWidth="1"/>
    <col min="17" max="17" width="24" bestFit="1" customWidth="1"/>
    <col min="18" max="18" width="19.28515625" bestFit="1" customWidth="1"/>
    <col min="19" max="19" width="20.7109375" bestFit="1" customWidth="1"/>
  </cols>
  <sheetData>
    <row r="1" spans="1:19" x14ac:dyDescent="0.25">
      <c r="A1" t="s">
        <v>0</v>
      </c>
      <c r="B1" t="s">
        <v>1</v>
      </c>
      <c r="C1" t="s">
        <v>2</v>
      </c>
      <c r="D1" t="s">
        <v>3</v>
      </c>
      <c r="E1" t="s">
        <v>4</v>
      </c>
      <c r="F1" t="s">
        <v>72</v>
      </c>
      <c r="G1" t="s">
        <v>5</v>
      </c>
      <c r="H1" t="s">
        <v>6</v>
      </c>
      <c r="I1" t="s">
        <v>7</v>
      </c>
      <c r="J1" t="s">
        <v>8</v>
      </c>
      <c r="K1" t="s">
        <v>9</v>
      </c>
      <c r="L1" t="s">
        <v>10</v>
      </c>
      <c r="M1" t="s">
        <v>11</v>
      </c>
      <c r="N1" t="s">
        <v>12</v>
      </c>
      <c r="O1" t="s">
        <v>13</v>
      </c>
      <c r="P1" t="s">
        <v>14</v>
      </c>
      <c r="Q1" t="s">
        <v>15</v>
      </c>
      <c r="R1" t="s">
        <v>16</v>
      </c>
      <c r="S1" t="s">
        <v>17</v>
      </c>
    </row>
    <row r="2" spans="1:19" x14ac:dyDescent="0.25">
      <c r="A2" s="24">
        <v>46013</v>
      </c>
      <c r="B2">
        <v>68.010000000000005</v>
      </c>
      <c r="C2">
        <v>1023044526</v>
      </c>
      <c r="D2" t="s">
        <v>86</v>
      </c>
      <c r="E2" t="s">
        <v>87</v>
      </c>
      <c r="F2" t="s">
        <v>88</v>
      </c>
      <c r="G2" t="s">
        <v>19</v>
      </c>
      <c r="H2" t="s">
        <v>19</v>
      </c>
      <c r="I2" t="s">
        <v>19</v>
      </c>
      <c r="J2">
        <v>11530637</v>
      </c>
      <c r="K2" t="s">
        <v>19</v>
      </c>
      <c r="L2" t="s">
        <v>19</v>
      </c>
      <c r="M2" t="s">
        <v>19</v>
      </c>
      <c r="N2" t="s">
        <v>19</v>
      </c>
      <c r="O2">
        <v>11530637</v>
      </c>
      <c r="P2">
        <v>91005966197324</v>
      </c>
      <c r="Q2" t="s">
        <v>19</v>
      </c>
      <c r="R2" t="s">
        <v>19</v>
      </c>
      <c r="S2" t="s">
        <v>19</v>
      </c>
    </row>
    <row r="3" spans="1:19" x14ac:dyDescent="0.25">
      <c r="A3" s="24">
        <v>46013</v>
      </c>
      <c r="B3">
        <v>57.87</v>
      </c>
      <c r="C3">
        <v>1023044526</v>
      </c>
      <c r="D3" t="s">
        <v>70</v>
      </c>
      <c r="E3" t="s">
        <v>39</v>
      </c>
      <c r="F3" t="s">
        <v>89</v>
      </c>
      <c r="G3" t="s">
        <v>19</v>
      </c>
      <c r="H3" t="s">
        <v>19</v>
      </c>
      <c r="I3" t="s">
        <v>19</v>
      </c>
      <c r="J3">
        <v>13194069</v>
      </c>
      <c r="K3" t="s">
        <v>19</v>
      </c>
      <c r="L3" t="s">
        <v>19</v>
      </c>
      <c r="M3" t="s">
        <v>19</v>
      </c>
      <c r="N3" t="s">
        <v>19</v>
      </c>
      <c r="O3">
        <v>13194069</v>
      </c>
      <c r="P3">
        <v>91006165095158</v>
      </c>
      <c r="Q3" t="s">
        <v>19</v>
      </c>
      <c r="R3" t="s">
        <v>19</v>
      </c>
      <c r="S3" t="s">
        <v>19</v>
      </c>
    </row>
    <row r="4" spans="1:19" x14ac:dyDescent="0.25">
      <c r="A4" s="24">
        <v>46013</v>
      </c>
      <c r="B4">
        <v>94.22</v>
      </c>
      <c r="C4">
        <v>1023044526</v>
      </c>
      <c r="D4" t="s">
        <v>90</v>
      </c>
      <c r="E4" t="s">
        <v>39</v>
      </c>
      <c r="F4" t="s">
        <v>91</v>
      </c>
      <c r="G4" t="s">
        <v>19</v>
      </c>
      <c r="H4" t="s">
        <v>19</v>
      </c>
      <c r="I4" t="s">
        <v>19</v>
      </c>
      <c r="J4">
        <v>13182290</v>
      </c>
      <c r="K4" t="s">
        <v>19</v>
      </c>
      <c r="L4" t="s">
        <v>19</v>
      </c>
      <c r="M4" t="s">
        <v>19</v>
      </c>
      <c r="N4" t="s">
        <v>19</v>
      </c>
      <c r="O4">
        <v>13182290</v>
      </c>
      <c r="P4">
        <v>91006165089156</v>
      </c>
      <c r="Q4" t="s">
        <v>19</v>
      </c>
      <c r="R4" t="s">
        <v>19</v>
      </c>
      <c r="S4" t="s">
        <v>19</v>
      </c>
    </row>
    <row r="5" spans="1:19" x14ac:dyDescent="0.25">
      <c r="A5" s="24">
        <v>46013</v>
      </c>
      <c r="B5">
        <v>423.19</v>
      </c>
      <c r="C5">
        <v>1427138676</v>
      </c>
      <c r="D5" t="s">
        <v>92</v>
      </c>
      <c r="E5" t="s">
        <v>35</v>
      </c>
      <c r="F5" t="s">
        <v>93</v>
      </c>
      <c r="G5" t="s">
        <v>19</v>
      </c>
      <c r="H5" t="s">
        <v>19</v>
      </c>
      <c r="I5" t="s">
        <v>19</v>
      </c>
      <c r="J5">
        <v>13185506</v>
      </c>
      <c r="K5" t="s">
        <v>19</v>
      </c>
      <c r="L5" t="s">
        <v>19</v>
      </c>
      <c r="M5" t="s">
        <v>19</v>
      </c>
      <c r="N5" t="s">
        <v>19</v>
      </c>
      <c r="O5">
        <v>13185506</v>
      </c>
      <c r="P5">
        <v>91006165090483</v>
      </c>
      <c r="Q5" t="s">
        <v>19</v>
      </c>
      <c r="R5" t="s">
        <v>19</v>
      </c>
      <c r="S5" t="s">
        <v>19</v>
      </c>
    </row>
    <row r="6" spans="1:19" x14ac:dyDescent="0.25">
      <c r="A6" s="24">
        <v>46013</v>
      </c>
      <c r="B6">
        <v>77.77</v>
      </c>
      <c r="C6">
        <v>1023044526</v>
      </c>
      <c r="D6" t="s">
        <v>90</v>
      </c>
      <c r="E6" t="s">
        <v>39</v>
      </c>
      <c r="F6" t="s">
        <v>94</v>
      </c>
      <c r="G6" t="s">
        <v>19</v>
      </c>
      <c r="H6" t="s">
        <v>19</v>
      </c>
      <c r="I6" t="s">
        <v>19</v>
      </c>
      <c r="J6">
        <v>10622414</v>
      </c>
      <c r="K6" t="s">
        <v>19</v>
      </c>
      <c r="L6" t="s">
        <v>19</v>
      </c>
      <c r="M6" t="s">
        <v>19</v>
      </c>
      <c r="N6" t="s">
        <v>19</v>
      </c>
      <c r="O6">
        <v>10622414</v>
      </c>
      <c r="P6">
        <v>91005963236381</v>
      </c>
      <c r="Q6" t="s">
        <v>19</v>
      </c>
      <c r="R6" t="s">
        <v>19</v>
      </c>
      <c r="S6" t="s">
        <v>19</v>
      </c>
    </row>
    <row r="7" spans="1:19" x14ac:dyDescent="0.25">
      <c r="A7" s="24">
        <v>46013</v>
      </c>
      <c r="B7">
        <v>245.9</v>
      </c>
      <c r="C7">
        <v>1023044526</v>
      </c>
      <c r="D7" t="s">
        <v>65</v>
      </c>
      <c r="E7" t="s">
        <v>50</v>
      </c>
      <c r="F7" t="s">
        <v>95</v>
      </c>
      <c r="G7" t="s">
        <v>19</v>
      </c>
      <c r="H7" t="s">
        <v>19</v>
      </c>
      <c r="I7" t="s">
        <v>19</v>
      </c>
      <c r="J7">
        <v>100201527423</v>
      </c>
      <c r="K7" t="s">
        <v>19</v>
      </c>
      <c r="L7" t="s">
        <v>19</v>
      </c>
      <c r="M7" t="s">
        <v>19</v>
      </c>
      <c r="N7" t="s">
        <v>19</v>
      </c>
      <c r="O7">
        <v>100201527423</v>
      </c>
      <c r="P7">
        <v>91006172740065</v>
      </c>
      <c r="Q7" t="s">
        <v>19</v>
      </c>
      <c r="R7" t="s">
        <v>19</v>
      </c>
      <c r="S7" t="s">
        <v>19</v>
      </c>
    </row>
    <row r="8" spans="1:19" x14ac:dyDescent="0.25">
      <c r="A8" s="24">
        <v>46013</v>
      </c>
      <c r="B8">
        <v>66.36</v>
      </c>
      <c r="C8">
        <v>1790866564</v>
      </c>
      <c r="D8" t="s">
        <v>96</v>
      </c>
      <c r="E8" t="s">
        <v>97</v>
      </c>
      <c r="F8" t="s">
        <v>98</v>
      </c>
      <c r="G8" t="s">
        <v>19</v>
      </c>
      <c r="H8" t="s">
        <v>19</v>
      </c>
      <c r="I8" t="s">
        <v>19</v>
      </c>
      <c r="J8">
        <v>100201527425</v>
      </c>
      <c r="K8" t="s">
        <v>19</v>
      </c>
      <c r="L8" t="s">
        <v>19</v>
      </c>
      <c r="M8" t="s">
        <v>19</v>
      </c>
      <c r="N8" t="s">
        <v>19</v>
      </c>
      <c r="O8">
        <v>100201527425</v>
      </c>
      <c r="P8">
        <v>91006172964379</v>
      </c>
      <c r="Q8" t="s">
        <v>19</v>
      </c>
      <c r="R8" t="s">
        <v>19</v>
      </c>
      <c r="S8" t="s">
        <v>19</v>
      </c>
    </row>
    <row r="9" spans="1:19" x14ac:dyDescent="0.25">
      <c r="A9" s="24">
        <v>46013</v>
      </c>
      <c r="B9">
        <v>310.14</v>
      </c>
      <c r="C9">
        <v>562180744</v>
      </c>
      <c r="D9" t="s">
        <v>99</v>
      </c>
      <c r="E9" t="s">
        <v>35</v>
      </c>
      <c r="F9" t="s">
        <v>100</v>
      </c>
      <c r="G9" t="s">
        <v>19</v>
      </c>
      <c r="H9" t="s">
        <v>19</v>
      </c>
      <c r="I9" t="s">
        <v>19</v>
      </c>
      <c r="J9">
        <v>384874858691</v>
      </c>
      <c r="K9" t="s">
        <v>19</v>
      </c>
      <c r="L9" t="s">
        <v>19</v>
      </c>
      <c r="M9" t="s">
        <v>19</v>
      </c>
      <c r="N9" t="s">
        <v>19</v>
      </c>
      <c r="O9">
        <v>384874858691</v>
      </c>
      <c r="P9">
        <v>91006263396294</v>
      </c>
      <c r="Q9" t="s">
        <v>19</v>
      </c>
      <c r="R9" t="s">
        <v>19</v>
      </c>
      <c r="S9" t="s">
        <v>19</v>
      </c>
    </row>
    <row r="10" spans="1:19" x14ac:dyDescent="0.25">
      <c r="A10" s="24">
        <v>46013</v>
      </c>
      <c r="B10">
        <v>116.45</v>
      </c>
      <c r="C10">
        <v>561319745</v>
      </c>
      <c r="D10" t="s">
        <v>68</v>
      </c>
      <c r="E10" t="s">
        <v>47</v>
      </c>
      <c r="F10" t="s">
        <v>101</v>
      </c>
      <c r="G10" t="s">
        <v>19</v>
      </c>
      <c r="H10" t="s">
        <v>19</v>
      </c>
      <c r="I10" t="s">
        <v>19</v>
      </c>
      <c r="J10">
        <v>384876333540</v>
      </c>
      <c r="K10" t="s">
        <v>19</v>
      </c>
      <c r="L10" t="s">
        <v>19</v>
      </c>
      <c r="M10" t="s">
        <v>19</v>
      </c>
      <c r="N10" t="s">
        <v>19</v>
      </c>
      <c r="O10">
        <v>384876333540</v>
      </c>
      <c r="P10">
        <v>91006263433373</v>
      </c>
      <c r="Q10" t="s">
        <v>19</v>
      </c>
      <c r="R10" t="s">
        <v>19</v>
      </c>
      <c r="S10" t="s">
        <v>19</v>
      </c>
    </row>
    <row r="11" spans="1:19" x14ac:dyDescent="0.25">
      <c r="A11" s="24">
        <v>46013</v>
      </c>
      <c r="B11">
        <v>79.2</v>
      </c>
      <c r="C11">
        <v>550862343</v>
      </c>
      <c r="D11" t="s">
        <v>102</v>
      </c>
      <c r="E11" t="s">
        <v>103</v>
      </c>
      <c r="F11" t="s">
        <v>104</v>
      </c>
      <c r="G11" t="s">
        <v>19</v>
      </c>
      <c r="H11" t="s">
        <v>19</v>
      </c>
      <c r="I11" t="s">
        <v>19</v>
      </c>
      <c r="J11">
        <v>11368890</v>
      </c>
      <c r="K11" t="s">
        <v>19</v>
      </c>
      <c r="L11" t="s">
        <v>19</v>
      </c>
      <c r="M11" t="s">
        <v>19</v>
      </c>
      <c r="N11" t="s">
        <v>19</v>
      </c>
      <c r="O11">
        <v>11368890</v>
      </c>
      <c r="P11">
        <v>91006273483326</v>
      </c>
      <c r="Q11" t="s">
        <v>19</v>
      </c>
      <c r="R11" t="s">
        <v>19</v>
      </c>
      <c r="S11" t="s">
        <v>19</v>
      </c>
    </row>
    <row r="12" spans="1:19" x14ac:dyDescent="0.25">
      <c r="A12" s="24">
        <v>46013</v>
      </c>
      <c r="B12">
        <v>16.22</v>
      </c>
      <c r="C12">
        <v>561319745</v>
      </c>
      <c r="D12" t="s">
        <v>105</v>
      </c>
      <c r="E12" t="s">
        <v>50</v>
      </c>
      <c r="F12" t="s">
        <v>106</v>
      </c>
      <c r="G12" t="s">
        <v>19</v>
      </c>
      <c r="H12" t="s">
        <v>19</v>
      </c>
      <c r="I12" t="s">
        <v>19</v>
      </c>
      <c r="J12">
        <v>11368199</v>
      </c>
      <c r="K12" t="s">
        <v>19</v>
      </c>
      <c r="L12" t="s">
        <v>19</v>
      </c>
      <c r="M12" t="s">
        <v>19</v>
      </c>
      <c r="N12" t="s">
        <v>19</v>
      </c>
      <c r="O12">
        <v>11368199</v>
      </c>
      <c r="P12">
        <v>91006273475697</v>
      </c>
      <c r="Q12" t="s">
        <v>19</v>
      </c>
      <c r="R12" t="s">
        <v>19</v>
      </c>
      <c r="S12" t="s">
        <v>19</v>
      </c>
    </row>
    <row r="13" spans="1:19" x14ac:dyDescent="0.25">
      <c r="A13" s="24">
        <v>46013</v>
      </c>
      <c r="B13">
        <v>95.76</v>
      </c>
      <c r="C13">
        <v>561883003</v>
      </c>
      <c r="D13" t="s">
        <v>107</v>
      </c>
      <c r="E13" t="s">
        <v>97</v>
      </c>
      <c r="F13" t="s">
        <v>108</v>
      </c>
      <c r="G13" t="s">
        <v>19</v>
      </c>
      <c r="H13" t="s">
        <v>19</v>
      </c>
      <c r="I13" t="s">
        <v>19</v>
      </c>
      <c r="J13">
        <v>11368882</v>
      </c>
      <c r="K13" t="s">
        <v>19</v>
      </c>
      <c r="L13" t="s">
        <v>19</v>
      </c>
      <c r="M13" t="s">
        <v>19</v>
      </c>
      <c r="N13" t="s">
        <v>19</v>
      </c>
      <c r="O13">
        <v>11368882</v>
      </c>
      <c r="P13">
        <v>91006273482856</v>
      </c>
      <c r="Q13" t="s">
        <v>19</v>
      </c>
      <c r="R13" t="s">
        <v>19</v>
      </c>
      <c r="S13" t="s">
        <v>19</v>
      </c>
    </row>
    <row r="14" spans="1:19" x14ac:dyDescent="0.25">
      <c r="A14" s="24"/>
    </row>
    <row r="15" spans="1:19" x14ac:dyDescent="0.25">
      <c r="A15" s="24"/>
    </row>
    <row r="16" spans="1:19" x14ac:dyDescent="0.25">
      <c r="A16" s="24"/>
    </row>
    <row r="17" spans="1:1" x14ac:dyDescent="0.25">
      <c r="A17" s="24"/>
    </row>
    <row r="18" spans="1:1" x14ac:dyDescent="0.25">
      <c r="A18" s="24"/>
    </row>
    <row r="19" spans="1:1" x14ac:dyDescent="0.25">
      <c r="A19" s="24"/>
    </row>
    <row r="20" spans="1:1" x14ac:dyDescent="0.25">
      <c r="A20" s="24"/>
    </row>
    <row r="21" spans="1:1" x14ac:dyDescent="0.25">
      <c r="A21" s="24"/>
    </row>
    <row r="22" spans="1:1" x14ac:dyDescent="0.25">
      <c r="A22" s="24"/>
    </row>
    <row r="23" spans="1:1" x14ac:dyDescent="0.25">
      <c r="A23" s="24"/>
    </row>
    <row r="24" spans="1:1" x14ac:dyDescent="0.25">
      <c r="A24" s="24"/>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19A8-EEA8-4EC8-99E4-59A625298378}">
  <dimension ref="A1:S25"/>
  <sheetViews>
    <sheetView zoomScale="125" zoomScaleNormal="125" workbookViewId="0">
      <selection activeCell="A15" sqref="A15"/>
    </sheetView>
  </sheetViews>
  <sheetFormatPr defaultRowHeight="15" x14ac:dyDescent="0.25"/>
  <cols>
    <col min="1" max="1" width="12.5703125" customWidth="1"/>
    <col min="2" max="2" width="15.140625" customWidth="1"/>
    <col min="3" max="3" width="14.7109375" customWidth="1"/>
    <col min="4" max="4" width="20.7109375" customWidth="1"/>
    <col min="5" max="5" width="27.7109375" customWidth="1"/>
    <col min="6" max="6" width="27.7109375" style="5" customWidth="1"/>
  </cols>
  <sheetData>
    <row r="1" spans="1:19" s="3" customFormat="1" ht="15.75" thickBot="1" x14ac:dyDescent="0.3">
      <c r="A1" s="6" t="s">
        <v>0</v>
      </c>
      <c r="B1" s="7" t="s">
        <v>1</v>
      </c>
      <c r="C1" s="7" t="s">
        <v>2</v>
      </c>
      <c r="D1" s="7" t="s">
        <v>3</v>
      </c>
      <c r="E1" s="7" t="s">
        <v>4</v>
      </c>
      <c r="F1" s="8" t="s">
        <v>72</v>
      </c>
      <c r="G1" s="2" t="s">
        <v>5</v>
      </c>
      <c r="H1" s="2" t="s">
        <v>6</v>
      </c>
      <c r="I1" s="2" t="s">
        <v>7</v>
      </c>
      <c r="J1" s="2" t="s">
        <v>8</v>
      </c>
      <c r="K1" s="2" t="s">
        <v>9</v>
      </c>
      <c r="L1" s="2" t="s">
        <v>10</v>
      </c>
      <c r="M1" s="2" t="s">
        <v>11</v>
      </c>
      <c r="N1" s="2" t="s">
        <v>12</v>
      </c>
      <c r="O1" s="2" t="s">
        <v>13</v>
      </c>
      <c r="P1" s="2" t="s">
        <v>14</v>
      </c>
      <c r="Q1" s="2" t="s">
        <v>15</v>
      </c>
      <c r="R1" s="2" t="s">
        <v>16</v>
      </c>
      <c r="S1" s="2" t="s">
        <v>17</v>
      </c>
    </row>
    <row r="2" spans="1:19" x14ac:dyDescent="0.25">
      <c r="A2" s="9" t="s">
        <v>18</v>
      </c>
      <c r="B2" s="10">
        <v>64.709999999999994</v>
      </c>
      <c r="C2" s="11" t="s">
        <v>38</v>
      </c>
      <c r="D2" s="12" t="s">
        <v>59</v>
      </c>
      <c r="E2" s="12" t="s">
        <v>50</v>
      </c>
      <c r="F2" s="13" t="s">
        <v>73</v>
      </c>
      <c r="G2" t="s">
        <v>19</v>
      </c>
      <c r="H2" t="s">
        <v>19</v>
      </c>
      <c r="I2" t="s">
        <v>19</v>
      </c>
      <c r="J2" t="s">
        <v>51</v>
      </c>
      <c r="K2" t="s">
        <v>19</v>
      </c>
      <c r="L2" t="s">
        <v>19</v>
      </c>
      <c r="M2" t="s">
        <v>19</v>
      </c>
      <c r="N2" t="s">
        <v>19</v>
      </c>
      <c r="O2" t="s">
        <v>51</v>
      </c>
      <c r="P2" t="s">
        <v>52</v>
      </c>
      <c r="Q2" t="s">
        <v>19</v>
      </c>
      <c r="R2" t="s">
        <v>19</v>
      </c>
      <c r="S2" t="s">
        <v>19</v>
      </c>
    </row>
    <row r="3" spans="1:19" x14ac:dyDescent="0.25">
      <c r="A3" s="14" t="s">
        <v>18</v>
      </c>
      <c r="B3" s="15">
        <v>233.66</v>
      </c>
      <c r="C3" s="16" t="s">
        <v>30</v>
      </c>
      <c r="D3" s="17" t="s">
        <v>60</v>
      </c>
      <c r="E3" s="17" t="s">
        <v>31</v>
      </c>
      <c r="F3" s="18" t="s">
        <v>74</v>
      </c>
      <c r="G3" t="s">
        <v>19</v>
      </c>
      <c r="H3" t="s">
        <v>19</v>
      </c>
      <c r="I3" t="s">
        <v>19</v>
      </c>
      <c r="J3" t="s">
        <v>32</v>
      </c>
      <c r="K3" t="s">
        <v>19</v>
      </c>
      <c r="L3" t="s">
        <v>19</v>
      </c>
      <c r="M3" t="s">
        <v>19</v>
      </c>
      <c r="N3" t="s">
        <v>19</v>
      </c>
      <c r="O3" t="s">
        <v>32</v>
      </c>
      <c r="P3" t="s">
        <v>33</v>
      </c>
      <c r="Q3" t="s">
        <v>19</v>
      </c>
      <c r="R3" t="s">
        <v>19</v>
      </c>
      <c r="S3" t="s">
        <v>19</v>
      </c>
    </row>
    <row r="4" spans="1:19" x14ac:dyDescent="0.25">
      <c r="A4" s="14" t="s">
        <v>18</v>
      </c>
      <c r="B4" s="15">
        <v>175.55</v>
      </c>
      <c r="C4" s="16" t="s">
        <v>38</v>
      </c>
      <c r="D4" s="17" t="s">
        <v>70</v>
      </c>
      <c r="E4" s="17" t="s">
        <v>39</v>
      </c>
      <c r="F4" s="18" t="s">
        <v>75</v>
      </c>
      <c r="G4" t="s">
        <v>19</v>
      </c>
      <c r="H4" t="s">
        <v>19</v>
      </c>
      <c r="I4" t="s">
        <v>19</v>
      </c>
      <c r="J4" t="s">
        <v>40</v>
      </c>
      <c r="K4" t="s">
        <v>19</v>
      </c>
      <c r="L4" t="s">
        <v>19</v>
      </c>
      <c r="M4" t="s">
        <v>19</v>
      </c>
      <c r="N4" t="s">
        <v>19</v>
      </c>
      <c r="O4" t="s">
        <v>40</v>
      </c>
      <c r="P4" t="s">
        <v>41</v>
      </c>
      <c r="Q4" t="s">
        <v>19</v>
      </c>
      <c r="R4" t="s">
        <v>19</v>
      </c>
      <c r="S4" t="s">
        <v>19</v>
      </c>
    </row>
    <row r="5" spans="1:19" x14ac:dyDescent="0.25">
      <c r="A5" s="14" t="s">
        <v>18</v>
      </c>
      <c r="B5" s="15">
        <v>532.35</v>
      </c>
      <c r="C5" s="16" t="s">
        <v>23</v>
      </c>
      <c r="D5" s="17" t="s">
        <v>71</v>
      </c>
      <c r="E5" s="17" t="s">
        <v>20</v>
      </c>
      <c r="F5" s="18" t="s">
        <v>76</v>
      </c>
      <c r="G5" t="s">
        <v>19</v>
      </c>
      <c r="H5" t="s">
        <v>19</v>
      </c>
      <c r="I5" t="s">
        <v>19</v>
      </c>
      <c r="J5" t="s">
        <v>24</v>
      </c>
      <c r="K5" t="s">
        <v>19</v>
      </c>
      <c r="L5" t="s">
        <v>19</v>
      </c>
      <c r="M5" t="s">
        <v>19</v>
      </c>
      <c r="N5" t="s">
        <v>19</v>
      </c>
      <c r="O5" t="s">
        <v>24</v>
      </c>
      <c r="P5" t="s">
        <v>25</v>
      </c>
      <c r="Q5" t="s">
        <v>19</v>
      </c>
      <c r="R5" t="s">
        <v>19</v>
      </c>
      <c r="S5" t="s">
        <v>19</v>
      </c>
    </row>
    <row r="6" spans="1:19" x14ac:dyDescent="0.25">
      <c r="A6" s="14" t="s">
        <v>18</v>
      </c>
      <c r="B6" s="15">
        <v>251.91</v>
      </c>
      <c r="C6" s="16" t="s">
        <v>62</v>
      </c>
      <c r="D6" s="17" t="s">
        <v>61</v>
      </c>
      <c r="E6" s="17" t="s">
        <v>27</v>
      </c>
      <c r="F6" s="18" t="s">
        <v>77</v>
      </c>
      <c r="G6" t="s">
        <v>19</v>
      </c>
      <c r="H6" t="s">
        <v>19</v>
      </c>
      <c r="I6" t="s">
        <v>19</v>
      </c>
      <c r="J6" t="s">
        <v>28</v>
      </c>
      <c r="K6" t="s">
        <v>19</v>
      </c>
      <c r="L6" t="s">
        <v>19</v>
      </c>
      <c r="M6" t="s">
        <v>19</v>
      </c>
      <c r="N6" t="s">
        <v>19</v>
      </c>
      <c r="O6" t="s">
        <v>28</v>
      </c>
      <c r="P6" t="s">
        <v>29</v>
      </c>
      <c r="Q6" t="s">
        <v>19</v>
      </c>
      <c r="R6" t="s">
        <v>19</v>
      </c>
      <c r="S6" t="s">
        <v>19</v>
      </c>
    </row>
    <row r="7" spans="1:19" x14ac:dyDescent="0.25">
      <c r="A7" s="14" t="s">
        <v>18</v>
      </c>
      <c r="B7" s="15">
        <v>49.18</v>
      </c>
      <c r="C7" s="16" t="s">
        <v>38</v>
      </c>
      <c r="D7" s="17" t="s">
        <v>65</v>
      </c>
      <c r="E7" s="17" t="s">
        <v>50</v>
      </c>
      <c r="F7" s="18" t="s">
        <v>78</v>
      </c>
      <c r="G7" t="s">
        <v>19</v>
      </c>
      <c r="H7" t="s">
        <v>19</v>
      </c>
      <c r="I7" t="s">
        <v>19</v>
      </c>
      <c r="J7" t="s">
        <v>55</v>
      </c>
      <c r="K7" t="s">
        <v>19</v>
      </c>
      <c r="L7" t="s">
        <v>19</v>
      </c>
      <c r="M7" t="s">
        <v>19</v>
      </c>
      <c r="N7" t="s">
        <v>19</v>
      </c>
      <c r="O7" t="s">
        <v>55</v>
      </c>
      <c r="P7" t="s">
        <v>56</v>
      </c>
      <c r="Q7" t="s">
        <v>19</v>
      </c>
      <c r="R7" t="s">
        <v>19</v>
      </c>
      <c r="S7" t="s">
        <v>19</v>
      </c>
    </row>
    <row r="8" spans="1:19" x14ac:dyDescent="0.25">
      <c r="A8" s="14" t="s">
        <v>18</v>
      </c>
      <c r="B8" s="15">
        <v>223.71</v>
      </c>
      <c r="C8" s="16" t="s">
        <v>34</v>
      </c>
      <c r="D8" s="17" t="s">
        <v>66</v>
      </c>
      <c r="E8" s="17" t="s">
        <v>35</v>
      </c>
      <c r="F8" s="18" t="s">
        <v>79</v>
      </c>
      <c r="G8" t="s">
        <v>19</v>
      </c>
      <c r="H8" t="s">
        <v>19</v>
      </c>
      <c r="I8" t="s">
        <v>19</v>
      </c>
      <c r="J8" t="s">
        <v>36</v>
      </c>
      <c r="K8" t="s">
        <v>19</v>
      </c>
      <c r="L8" t="s">
        <v>19</v>
      </c>
      <c r="M8" t="s">
        <v>19</v>
      </c>
      <c r="N8" t="s">
        <v>19</v>
      </c>
      <c r="O8" t="s">
        <v>36</v>
      </c>
      <c r="P8" t="s">
        <v>37</v>
      </c>
      <c r="Q8" t="s">
        <v>19</v>
      </c>
      <c r="R8" t="s">
        <v>19</v>
      </c>
      <c r="S8" t="s">
        <v>19</v>
      </c>
    </row>
    <row r="9" spans="1:19" x14ac:dyDescent="0.25">
      <c r="A9" s="14" t="s">
        <v>18</v>
      </c>
      <c r="B9" s="15">
        <v>59.8</v>
      </c>
      <c r="C9" s="16" t="s">
        <v>34</v>
      </c>
      <c r="D9" s="17" t="s">
        <v>66</v>
      </c>
      <c r="E9" s="17" t="s">
        <v>35</v>
      </c>
      <c r="F9" s="18" t="s">
        <v>80</v>
      </c>
      <c r="G9" t="s">
        <v>19</v>
      </c>
      <c r="H9" t="s">
        <v>19</v>
      </c>
      <c r="I9" t="s">
        <v>19</v>
      </c>
      <c r="J9" t="s">
        <v>53</v>
      </c>
      <c r="K9" t="s">
        <v>19</v>
      </c>
      <c r="L9" t="s">
        <v>19</v>
      </c>
      <c r="M9" t="s">
        <v>19</v>
      </c>
      <c r="N9" t="s">
        <v>19</v>
      </c>
      <c r="O9" t="s">
        <v>53</v>
      </c>
      <c r="P9" t="s">
        <v>54</v>
      </c>
      <c r="Q9" t="s">
        <v>19</v>
      </c>
      <c r="R9" t="s">
        <v>19</v>
      </c>
      <c r="S9" t="s">
        <v>19</v>
      </c>
    </row>
    <row r="10" spans="1:19" x14ac:dyDescent="0.25">
      <c r="A10" s="14" t="s">
        <v>18</v>
      </c>
      <c r="B10" s="15">
        <v>147.83000000000001</v>
      </c>
      <c r="C10" s="16" t="s">
        <v>30</v>
      </c>
      <c r="D10" s="17" t="s">
        <v>68</v>
      </c>
      <c r="E10" s="17" t="s">
        <v>42</v>
      </c>
      <c r="F10" s="18" t="s">
        <v>81</v>
      </c>
      <c r="G10" t="s">
        <v>19</v>
      </c>
      <c r="H10" t="s">
        <v>19</v>
      </c>
      <c r="I10" t="s">
        <v>19</v>
      </c>
      <c r="J10" t="s">
        <v>43</v>
      </c>
      <c r="K10" t="s">
        <v>19</v>
      </c>
      <c r="L10" t="s">
        <v>19</v>
      </c>
      <c r="M10" t="s">
        <v>19</v>
      </c>
      <c r="N10" t="s">
        <v>19</v>
      </c>
      <c r="O10" t="s">
        <v>43</v>
      </c>
      <c r="P10" t="s">
        <v>44</v>
      </c>
      <c r="Q10" t="s">
        <v>19</v>
      </c>
      <c r="R10" t="s">
        <v>19</v>
      </c>
      <c r="S10" t="s">
        <v>19</v>
      </c>
    </row>
    <row r="11" spans="1:19" x14ac:dyDescent="0.25">
      <c r="A11" s="14" t="s">
        <v>18</v>
      </c>
      <c r="B11" s="15">
        <v>84.47</v>
      </c>
      <c r="C11" s="16" t="s">
        <v>30</v>
      </c>
      <c r="D11" s="17" t="s">
        <v>67</v>
      </c>
      <c r="E11" s="17" t="s">
        <v>42</v>
      </c>
      <c r="F11" s="18" t="s">
        <v>82</v>
      </c>
      <c r="G11" t="s">
        <v>19</v>
      </c>
      <c r="H11" t="s">
        <v>19</v>
      </c>
      <c r="I11" t="s">
        <v>19</v>
      </c>
      <c r="J11" t="s">
        <v>45</v>
      </c>
      <c r="K11" t="s">
        <v>19</v>
      </c>
      <c r="L11" t="s">
        <v>19</v>
      </c>
      <c r="M11" t="s">
        <v>19</v>
      </c>
      <c r="N11" t="s">
        <v>19</v>
      </c>
      <c r="O11" t="s">
        <v>45</v>
      </c>
      <c r="P11" t="s">
        <v>46</v>
      </c>
      <c r="Q11" t="s">
        <v>19</v>
      </c>
      <c r="R11" t="s">
        <v>19</v>
      </c>
      <c r="S11" t="s">
        <v>19</v>
      </c>
    </row>
    <row r="12" spans="1:19" x14ac:dyDescent="0.25">
      <c r="A12" s="14" t="s">
        <v>18</v>
      </c>
      <c r="B12" s="15">
        <v>66.33</v>
      </c>
      <c r="C12" s="16" t="s">
        <v>26</v>
      </c>
      <c r="D12" s="17" t="s">
        <v>68</v>
      </c>
      <c r="E12" s="17" t="s">
        <v>47</v>
      </c>
      <c r="F12" s="18" t="s">
        <v>83</v>
      </c>
      <c r="G12" t="s">
        <v>19</v>
      </c>
      <c r="H12" t="s">
        <v>19</v>
      </c>
      <c r="I12" t="s">
        <v>19</v>
      </c>
      <c r="J12" t="s">
        <v>48</v>
      </c>
      <c r="K12" t="s">
        <v>19</v>
      </c>
      <c r="L12" t="s">
        <v>19</v>
      </c>
      <c r="M12" t="s">
        <v>19</v>
      </c>
      <c r="N12" t="s">
        <v>19</v>
      </c>
      <c r="O12" t="s">
        <v>48</v>
      </c>
      <c r="P12" t="s">
        <v>49</v>
      </c>
      <c r="Q12" t="s">
        <v>19</v>
      </c>
      <c r="R12" t="s">
        <v>19</v>
      </c>
      <c r="S12" t="s">
        <v>19</v>
      </c>
    </row>
    <row r="13" spans="1:19" x14ac:dyDescent="0.25">
      <c r="A13" s="14" t="s">
        <v>18</v>
      </c>
      <c r="B13" s="15">
        <v>35.4</v>
      </c>
      <c r="C13" s="16" t="s">
        <v>26</v>
      </c>
      <c r="D13" s="17" t="s">
        <v>69</v>
      </c>
      <c r="E13" s="17" t="s">
        <v>47</v>
      </c>
      <c r="F13" s="18" t="s">
        <v>84</v>
      </c>
      <c r="G13" t="s">
        <v>19</v>
      </c>
      <c r="H13" t="s">
        <v>19</v>
      </c>
      <c r="I13" t="s">
        <v>19</v>
      </c>
      <c r="J13" t="s">
        <v>57</v>
      </c>
      <c r="K13" t="s">
        <v>19</v>
      </c>
      <c r="L13" t="s">
        <v>19</v>
      </c>
      <c r="M13" t="s">
        <v>19</v>
      </c>
      <c r="N13" t="s">
        <v>19</v>
      </c>
      <c r="O13" t="s">
        <v>57</v>
      </c>
      <c r="P13" t="s">
        <v>58</v>
      </c>
      <c r="Q13" t="s">
        <v>19</v>
      </c>
      <c r="R13" t="s">
        <v>19</v>
      </c>
      <c r="S13" t="s">
        <v>19</v>
      </c>
    </row>
    <row r="14" spans="1:19" ht="15.75" thickBot="1" x14ac:dyDescent="0.3">
      <c r="A14" s="19" t="s">
        <v>18</v>
      </c>
      <c r="B14" s="20">
        <v>2421.8200000000002</v>
      </c>
      <c r="C14" s="21" t="s">
        <v>63</v>
      </c>
      <c r="D14" s="22" t="s">
        <v>64</v>
      </c>
      <c r="E14" s="22" t="s">
        <v>20</v>
      </c>
      <c r="F14" s="23" t="s">
        <v>85</v>
      </c>
      <c r="G14" t="s">
        <v>19</v>
      </c>
      <c r="H14" t="s">
        <v>19</v>
      </c>
      <c r="I14" t="s">
        <v>19</v>
      </c>
      <c r="J14" t="s">
        <v>21</v>
      </c>
      <c r="K14" t="s">
        <v>19</v>
      </c>
      <c r="L14" t="s">
        <v>19</v>
      </c>
      <c r="M14" t="s">
        <v>19</v>
      </c>
      <c r="N14" t="s">
        <v>19</v>
      </c>
      <c r="O14" t="s">
        <v>21</v>
      </c>
      <c r="P14" t="s">
        <v>22</v>
      </c>
      <c r="Q14" t="s">
        <v>19</v>
      </c>
      <c r="R14" t="s">
        <v>19</v>
      </c>
      <c r="S14" t="s">
        <v>19</v>
      </c>
    </row>
    <row r="15" spans="1:19" x14ac:dyDescent="0.25">
      <c r="B15" s="1"/>
      <c r="C15" s="4"/>
    </row>
    <row r="16" spans="1:19" x14ac:dyDescent="0.25">
      <c r="B16" s="1"/>
      <c r="C16" s="4"/>
    </row>
    <row r="17" spans="2:3" x14ac:dyDescent="0.25">
      <c r="B17" s="1"/>
      <c r="C17" s="4"/>
    </row>
    <row r="18" spans="2:3" x14ac:dyDescent="0.25">
      <c r="B18" s="1"/>
      <c r="C18" s="4"/>
    </row>
    <row r="19" spans="2:3" x14ac:dyDescent="0.25">
      <c r="B19" s="1"/>
    </row>
    <row r="20" spans="2:3" x14ac:dyDescent="0.25">
      <c r="B20" s="1"/>
    </row>
    <row r="21" spans="2:3" x14ac:dyDescent="0.25">
      <c r="B21" s="1"/>
    </row>
    <row r="22" spans="2:3" x14ac:dyDescent="0.25">
      <c r="B22" s="1"/>
    </row>
    <row r="23" spans="2:3" x14ac:dyDescent="0.25">
      <c r="B23" s="1"/>
    </row>
    <row r="24" spans="2:3" x14ac:dyDescent="0.25">
      <c r="B24" s="1"/>
    </row>
    <row r="25" spans="2:3" x14ac:dyDescent="0.25">
      <c r="B25"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DFFF7A-F07E-4509-A66B-4C15B5E553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Dashboard</vt:lpstr>
      <vt:lpstr>Sheet6</vt:lpstr>
      <vt:lpstr>Sheet3</vt:lpstr>
      <vt:lpstr>Sheet9</vt:lpstr>
      <vt:lpstr>Sheet10</vt:lpstr>
      <vt:lpstr>Sheet1</vt:lpstr>
      <vt:lpstr>12-19 - 12-31</vt:lpstr>
      <vt:lpstr>12-30-25</vt:lpstr>
      <vt:lpstr>12-29-25</vt:lpstr>
      <vt:lpstr>12-26-25</vt:lpstr>
      <vt:lpstr>12-24-25</vt:lpstr>
      <vt:lpstr>12-23-25</vt:lpstr>
      <vt:lpstr>12-22-25</vt:lpstr>
      <vt:lpstr>12-19-25</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Nunez, Eric</dc:creator>
  <cp:lastModifiedBy>Eubank, Jason</cp:lastModifiedBy>
  <cp:lastPrinted>2026-01-05T22:53:14Z</cp:lastPrinted>
  <dcterms:created xsi:type="dcterms:W3CDTF">2025-12-22T13:32:50Z</dcterms:created>
  <dcterms:modified xsi:type="dcterms:W3CDTF">2026-01-06T14:07:08Z</dcterms:modified>
</cp:coreProperties>
</file>